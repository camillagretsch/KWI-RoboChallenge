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/>
  <mc:AlternateContent xmlns:mc="http://schemas.openxmlformats.org/markup-compatibility/2006">
    <mc:Choice Requires="x15">
      <x15ac:absPath xmlns:x15ac="http://schemas.microsoft.com/office/spreadsheetml/2010/11/ac" url="/Users/camillagretsch/KWI-RoboChallenge/"/>
    </mc:Choice>
  </mc:AlternateContent>
  <xr:revisionPtr revIDLastSave="0" documentId="13_ncr:1_{0BB1E81F-7047-0446-9593-7144F1390565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Linienfolger-Resultate" sheetId="15" r:id="rId1"/>
    <sheet name="Move-it-over-Spielplan" sheetId="11" r:id="rId2"/>
    <sheet name="Move-it-over-Rangliste" sheetId="14" r:id="rId3"/>
    <sheet name="RoboBall-Spielplan" sheetId="12" r:id="rId4"/>
    <sheet name="RoboBall-Rangliste" sheetId="16" r:id="rId5"/>
    <sheet name="Teams" sheetId="13" r:id="rId6"/>
  </sheets>
  <definedNames>
    <definedName name="_xlnm._FilterDatabase" localSheetId="3" hidden="1">'RoboBall-Spielplan'!$C$34:$U$43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12" l="1"/>
  <c r="S88" i="12"/>
  <c r="P88" i="12"/>
  <c r="S87" i="12"/>
  <c r="P87" i="12"/>
  <c r="S86" i="12"/>
  <c r="P86" i="12"/>
  <c r="S85" i="12"/>
  <c r="P85" i="12"/>
  <c r="S84" i="12"/>
  <c r="P84" i="12"/>
  <c r="S83" i="12"/>
  <c r="P83" i="12"/>
  <c r="S82" i="12"/>
  <c r="P82" i="12"/>
  <c r="S81" i="12"/>
  <c r="P81" i="12"/>
  <c r="S80" i="12"/>
  <c r="P80" i="12"/>
  <c r="S79" i="12"/>
  <c r="P79" i="12"/>
  <c r="S73" i="12"/>
  <c r="P73" i="12"/>
  <c r="S72" i="12"/>
  <c r="P72" i="12"/>
  <c r="S71" i="12"/>
  <c r="P71" i="12"/>
  <c r="S70" i="12"/>
  <c r="P70" i="12"/>
  <c r="S69" i="12"/>
  <c r="P69" i="12"/>
  <c r="S68" i="12"/>
  <c r="P68" i="12"/>
  <c r="S67" i="12"/>
  <c r="P67" i="12"/>
  <c r="S66" i="12"/>
  <c r="P66" i="12"/>
  <c r="S65" i="12"/>
  <c r="P65" i="12"/>
  <c r="S64" i="12"/>
  <c r="P64" i="12"/>
  <c r="S58" i="12"/>
  <c r="P58" i="12"/>
  <c r="S57" i="12"/>
  <c r="P57" i="12"/>
  <c r="S56" i="12"/>
  <c r="P56" i="12"/>
  <c r="S55" i="12"/>
  <c r="P55" i="12"/>
  <c r="S54" i="12"/>
  <c r="P54" i="12"/>
  <c r="S53" i="12"/>
  <c r="P53" i="12"/>
  <c r="S52" i="12"/>
  <c r="P52" i="12"/>
  <c r="S51" i="12"/>
  <c r="P51" i="12"/>
  <c r="S50" i="12"/>
  <c r="P50" i="12"/>
  <c r="S49" i="12"/>
  <c r="P49" i="12"/>
  <c r="S43" i="12"/>
  <c r="P43" i="12"/>
  <c r="S42" i="12"/>
  <c r="P42" i="12"/>
  <c r="S41" i="12"/>
  <c r="P41" i="12"/>
  <c r="S40" i="12"/>
  <c r="P40" i="12"/>
  <c r="S39" i="12"/>
  <c r="P39" i="12"/>
  <c r="S38" i="12"/>
  <c r="P38" i="12"/>
  <c r="S37" i="12"/>
  <c r="P37" i="12"/>
  <c r="S36" i="12"/>
  <c r="P36" i="12"/>
  <c r="S35" i="12"/>
  <c r="P35" i="12"/>
  <c r="S34" i="12"/>
  <c r="P34" i="12"/>
  <c r="S28" i="12"/>
  <c r="P28" i="12"/>
  <c r="S27" i="12"/>
  <c r="P27" i="12"/>
  <c r="S26" i="12"/>
  <c r="P26" i="12"/>
  <c r="S25" i="12"/>
  <c r="P25" i="12"/>
  <c r="S24" i="12"/>
  <c r="P24" i="12"/>
  <c r="S23" i="12"/>
  <c r="P23" i="12"/>
  <c r="S22" i="12"/>
  <c r="P22" i="12"/>
  <c r="S21" i="12"/>
  <c r="P21" i="12"/>
  <c r="S20" i="12"/>
  <c r="P20" i="12"/>
  <c r="S19" i="12"/>
  <c r="P19" i="12"/>
  <c r="H88" i="12"/>
  <c r="E88" i="12"/>
  <c r="H87" i="12"/>
  <c r="E87" i="12"/>
  <c r="H86" i="12"/>
  <c r="E86" i="12"/>
  <c r="H85" i="12"/>
  <c r="H84" i="12"/>
  <c r="E84" i="12"/>
  <c r="H83" i="12"/>
  <c r="E83" i="12"/>
  <c r="H82" i="12"/>
  <c r="E82" i="12"/>
  <c r="H81" i="12"/>
  <c r="E81" i="12"/>
  <c r="H80" i="12"/>
  <c r="E80" i="12"/>
  <c r="H79" i="12"/>
  <c r="E79" i="12"/>
  <c r="H73" i="12"/>
  <c r="E73" i="12"/>
  <c r="H72" i="12"/>
  <c r="E72" i="12"/>
  <c r="H71" i="12"/>
  <c r="E71" i="12"/>
  <c r="H70" i="12"/>
  <c r="E70" i="12"/>
  <c r="H69" i="12"/>
  <c r="E69" i="12"/>
  <c r="H68" i="12"/>
  <c r="E68" i="12"/>
  <c r="H67" i="12"/>
  <c r="E67" i="12"/>
  <c r="H66" i="12"/>
  <c r="E66" i="12"/>
  <c r="H65" i="12"/>
  <c r="E65" i="12"/>
  <c r="H64" i="12"/>
  <c r="E64" i="12"/>
  <c r="H58" i="12"/>
  <c r="E58" i="12"/>
  <c r="H57" i="12"/>
  <c r="E57" i="12"/>
  <c r="H56" i="12"/>
  <c r="E56" i="12"/>
  <c r="H55" i="12"/>
  <c r="E55" i="12"/>
  <c r="H54" i="12"/>
  <c r="E54" i="12"/>
  <c r="H53" i="12"/>
  <c r="E53" i="12"/>
  <c r="H52" i="12"/>
  <c r="E52" i="12"/>
  <c r="H51" i="12"/>
  <c r="E51" i="12"/>
  <c r="H50" i="12"/>
  <c r="E50" i="12"/>
  <c r="H49" i="12"/>
  <c r="E49" i="12"/>
  <c r="H43" i="12"/>
  <c r="E43" i="12"/>
  <c r="H42" i="12"/>
  <c r="E42" i="12"/>
  <c r="H41" i="12"/>
  <c r="E41" i="12"/>
  <c r="H40" i="12"/>
  <c r="E40" i="12"/>
  <c r="H39" i="12"/>
  <c r="E39" i="12"/>
  <c r="H38" i="12"/>
  <c r="E38" i="12"/>
  <c r="H37" i="12"/>
  <c r="E37" i="12"/>
  <c r="H36" i="12"/>
  <c r="E36" i="12"/>
  <c r="H35" i="12"/>
  <c r="E35" i="12"/>
  <c r="H34" i="12"/>
  <c r="E34" i="12"/>
  <c r="H23" i="12"/>
  <c r="E22" i="12"/>
  <c r="H28" i="12"/>
  <c r="E28" i="12"/>
  <c r="H27" i="12"/>
  <c r="E27" i="12"/>
  <c r="H26" i="12"/>
  <c r="E26" i="12"/>
  <c r="H25" i="12"/>
  <c r="E25" i="12"/>
  <c r="H24" i="12"/>
  <c r="E24" i="12"/>
  <c r="E23" i="12"/>
  <c r="H22" i="12"/>
  <c r="H21" i="12"/>
  <c r="E21" i="12"/>
  <c r="H20" i="12"/>
  <c r="E20" i="12"/>
  <c r="H19" i="12"/>
  <c r="E19" i="12"/>
  <c r="S88" i="11" l="1"/>
  <c r="P88" i="11"/>
  <c r="S87" i="11"/>
  <c r="P87" i="11"/>
  <c r="S86" i="11"/>
  <c r="P86" i="11"/>
  <c r="S85" i="11"/>
  <c r="P85" i="11"/>
  <c r="S84" i="11"/>
  <c r="P84" i="11"/>
  <c r="S83" i="11"/>
  <c r="P83" i="11"/>
  <c r="S82" i="11"/>
  <c r="P82" i="11"/>
  <c r="S81" i="11"/>
  <c r="P81" i="11"/>
  <c r="S80" i="11"/>
  <c r="P80" i="11"/>
  <c r="S79" i="11"/>
  <c r="P79" i="11"/>
  <c r="P66" i="11"/>
  <c r="S73" i="11"/>
  <c r="P73" i="11"/>
  <c r="S72" i="11"/>
  <c r="P72" i="11"/>
  <c r="S71" i="11"/>
  <c r="P71" i="11"/>
  <c r="S70" i="11"/>
  <c r="P70" i="11"/>
  <c r="S69" i="11"/>
  <c r="P69" i="11"/>
  <c r="S68" i="11"/>
  <c r="P68" i="11"/>
  <c r="S67" i="11"/>
  <c r="P67" i="11"/>
  <c r="S66" i="11"/>
  <c r="S65" i="11"/>
  <c r="P65" i="11"/>
  <c r="S64" i="11"/>
  <c r="P64" i="11"/>
  <c r="S57" i="11"/>
  <c r="P54" i="11"/>
  <c r="S58" i="11"/>
  <c r="P58" i="11"/>
  <c r="P57" i="11"/>
  <c r="S56" i="11"/>
  <c r="P56" i="11"/>
  <c r="S55" i="11"/>
  <c r="P55" i="11"/>
  <c r="S54" i="11"/>
  <c r="S53" i="11"/>
  <c r="P53" i="11"/>
  <c r="S52" i="11"/>
  <c r="P52" i="11"/>
  <c r="S51" i="11"/>
  <c r="P51" i="11"/>
  <c r="S50" i="11"/>
  <c r="P50" i="11"/>
  <c r="S49" i="11"/>
  <c r="P49" i="11"/>
  <c r="P37" i="11"/>
  <c r="S38" i="11"/>
  <c r="S43" i="11"/>
  <c r="P43" i="11"/>
  <c r="S42" i="11"/>
  <c r="P42" i="11"/>
  <c r="S41" i="11"/>
  <c r="P41" i="11"/>
  <c r="S40" i="11"/>
  <c r="P40" i="11"/>
  <c r="S39" i="11"/>
  <c r="P39" i="11"/>
  <c r="P38" i="11"/>
  <c r="S37" i="11"/>
  <c r="S36" i="11"/>
  <c r="P36" i="11"/>
  <c r="S35" i="11"/>
  <c r="P35" i="11"/>
  <c r="S34" i="11"/>
  <c r="P34" i="11"/>
  <c r="S21" i="11"/>
  <c r="S28" i="11"/>
  <c r="S27" i="11"/>
  <c r="S26" i="11"/>
  <c r="S25" i="11"/>
  <c r="S24" i="11"/>
  <c r="S23" i="11"/>
  <c r="S22" i="11"/>
  <c r="S20" i="11"/>
  <c r="S19" i="11"/>
  <c r="P22" i="11"/>
  <c r="P28" i="11"/>
  <c r="P27" i="11"/>
  <c r="P26" i="11"/>
  <c r="P25" i="11"/>
  <c r="P24" i="11"/>
  <c r="P23" i="11"/>
  <c r="P21" i="11"/>
  <c r="P20" i="11"/>
  <c r="P19" i="11"/>
  <c r="P9" i="11"/>
  <c r="S13" i="11"/>
  <c r="P13" i="11"/>
  <c r="S12" i="11"/>
  <c r="AA29" i="11" s="1"/>
  <c r="P12" i="11"/>
  <c r="S11" i="11"/>
  <c r="P11" i="11"/>
  <c r="AA16" i="11" s="1"/>
  <c r="S10" i="11"/>
  <c r="P10" i="11"/>
  <c r="AA12" i="11" s="1"/>
  <c r="S9" i="11"/>
  <c r="S8" i="11"/>
  <c r="P8" i="11"/>
  <c r="S7" i="11"/>
  <c r="P7" i="11"/>
  <c r="S6" i="11"/>
  <c r="P6" i="11"/>
  <c r="S5" i="11"/>
  <c r="AA39" i="11" s="1"/>
  <c r="P5" i="11"/>
  <c r="S4" i="11"/>
  <c r="P4" i="11"/>
  <c r="H88" i="11"/>
  <c r="H87" i="11"/>
  <c r="H86" i="11"/>
  <c r="H85" i="11"/>
  <c r="H84" i="11"/>
  <c r="H83" i="11"/>
  <c r="H82" i="11"/>
  <c r="H81" i="11"/>
  <c r="H80" i="11"/>
  <c r="H79" i="11"/>
  <c r="E88" i="11"/>
  <c r="E87" i="11"/>
  <c r="E86" i="11"/>
  <c r="E85" i="11"/>
  <c r="E84" i="11"/>
  <c r="E83" i="11"/>
  <c r="E82" i="11"/>
  <c r="E81" i="11"/>
  <c r="E80" i="11"/>
  <c r="E79" i="11"/>
  <c r="H67" i="11"/>
  <c r="H73" i="11"/>
  <c r="H72" i="11"/>
  <c r="H71" i="11"/>
  <c r="H70" i="11"/>
  <c r="H69" i="11"/>
  <c r="H68" i="11"/>
  <c r="H66" i="11"/>
  <c r="H65" i="11"/>
  <c r="H64" i="11"/>
  <c r="E66" i="11"/>
  <c r="E73" i="11"/>
  <c r="E72" i="11"/>
  <c r="E71" i="11"/>
  <c r="E70" i="11"/>
  <c r="E69" i="11"/>
  <c r="E68" i="11"/>
  <c r="E67" i="11"/>
  <c r="E65" i="11"/>
  <c r="E64" i="11"/>
  <c r="H58" i="11"/>
  <c r="H57" i="11"/>
  <c r="H56" i="11"/>
  <c r="H55" i="11"/>
  <c r="H54" i="11"/>
  <c r="H53" i="11"/>
  <c r="H52" i="11"/>
  <c r="H51" i="11"/>
  <c r="H50" i="11"/>
  <c r="H49" i="11"/>
  <c r="E58" i="11"/>
  <c r="E57" i="11"/>
  <c r="E56" i="11"/>
  <c r="E55" i="11"/>
  <c r="E54" i="11"/>
  <c r="E53" i="11"/>
  <c r="E52" i="11"/>
  <c r="E51" i="11"/>
  <c r="E50" i="11"/>
  <c r="E49" i="11"/>
  <c r="H43" i="11"/>
  <c r="H42" i="11"/>
  <c r="H41" i="11"/>
  <c r="H40" i="11"/>
  <c r="H39" i="11"/>
  <c r="H38" i="11"/>
  <c r="H37" i="11"/>
  <c r="H36" i="11"/>
  <c r="H35" i="11"/>
  <c r="H34" i="11"/>
  <c r="E34" i="11"/>
  <c r="E43" i="11"/>
  <c r="E42" i="11"/>
  <c r="E41" i="11"/>
  <c r="E40" i="11"/>
  <c r="E39" i="11"/>
  <c r="E38" i="11"/>
  <c r="E37" i="11"/>
  <c r="E36" i="11"/>
  <c r="E35" i="11"/>
  <c r="H26" i="11"/>
  <c r="H28" i="11"/>
  <c r="H27" i="11"/>
  <c r="H25" i="11"/>
  <c r="H24" i="11"/>
  <c r="H23" i="11"/>
  <c r="H22" i="11"/>
  <c r="H21" i="11"/>
  <c r="H20" i="11"/>
  <c r="H19" i="11"/>
  <c r="E20" i="11"/>
  <c r="E28" i="11"/>
  <c r="E27" i="11"/>
  <c r="E26" i="11"/>
  <c r="E25" i="11"/>
  <c r="E24" i="11"/>
  <c r="E23" i="11"/>
  <c r="E22" i="11"/>
  <c r="E21" i="11"/>
  <c r="E19" i="11"/>
  <c r="H5" i="11"/>
  <c r="AA19" i="11" s="1"/>
  <c r="H6" i="11"/>
  <c r="AA42" i="11" s="1"/>
  <c r="H7" i="11"/>
  <c r="H8" i="11"/>
  <c r="H9" i="11"/>
  <c r="H10" i="11"/>
  <c r="H11" i="11"/>
  <c r="H12" i="11"/>
  <c r="AA31" i="11" s="1"/>
  <c r="H13" i="11"/>
  <c r="AA34" i="11" s="1"/>
  <c r="H4" i="11"/>
  <c r="E5" i="11"/>
  <c r="E6" i="11"/>
  <c r="AA13" i="11" s="1"/>
  <c r="E7" i="11"/>
  <c r="E8" i="11"/>
  <c r="E9" i="11"/>
  <c r="E10" i="11"/>
  <c r="E11" i="11"/>
  <c r="AA5" i="11" s="1"/>
  <c r="E12" i="11"/>
  <c r="E13" i="11"/>
  <c r="E4" i="11"/>
  <c r="AA25" i="11" s="1"/>
  <c r="AA27" i="11" l="1"/>
  <c r="AA37" i="11"/>
  <c r="AA14" i="11"/>
  <c r="AA41" i="11"/>
  <c r="AA24" i="11"/>
  <c r="AA6" i="11"/>
  <c r="AA40" i="11"/>
  <c r="AA7" i="11"/>
  <c r="AA43" i="11"/>
  <c r="AA8" i="11"/>
  <c r="AA15" i="11"/>
  <c r="AA33" i="11"/>
  <c r="AA32" i="11"/>
  <c r="AA11" i="11"/>
  <c r="AA35" i="11"/>
  <c r="AA17" i="11"/>
  <c r="AA21" i="11"/>
  <c r="AA22" i="11"/>
  <c r="AA9" i="11"/>
  <c r="AA28" i="11"/>
  <c r="AA38" i="11"/>
  <c r="AA18" i="11"/>
  <c r="AA36" i="11"/>
  <c r="AA10" i="11"/>
  <c r="AA26" i="11"/>
  <c r="AA20" i="11"/>
  <c r="AA30" i="11"/>
  <c r="AA4" i="11"/>
  <c r="AA23" i="11"/>
  <c r="Z8" i="11"/>
  <c r="Z7" i="11"/>
  <c r="Z4" i="11" l="1"/>
  <c r="Z26" i="11" l="1"/>
  <c r="Z5" i="11"/>
  <c r="Z6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A1" i="14" l="1" a="1"/>
  <c r="A1" i="14" s="1"/>
  <c r="Z24" i="12" l="1"/>
  <c r="Z6" i="12"/>
  <c r="Z20" i="12"/>
  <c r="Z9" i="12"/>
  <c r="Z11" i="12"/>
  <c r="Z36" i="12"/>
  <c r="Z19" i="12"/>
  <c r="Z8" i="12"/>
  <c r="Z42" i="12"/>
  <c r="Z34" i="12"/>
  <c r="E10" i="12"/>
  <c r="Y6" i="12" s="1"/>
  <c r="Y36" i="12"/>
  <c r="E13" i="12"/>
  <c r="Z31" i="12"/>
  <c r="E11" i="12"/>
  <c r="Y11" i="12" s="1"/>
  <c r="Z18" i="12"/>
  <c r="E12" i="12"/>
  <c r="Y24" i="12" s="1"/>
  <c r="Z17" i="12"/>
  <c r="H10" i="12"/>
  <c r="Y31" i="12" s="1"/>
  <c r="Z38" i="12"/>
  <c r="E5" i="12"/>
  <c r="Y42" i="12" s="1"/>
  <c r="Z37" i="12"/>
  <c r="E6" i="12"/>
  <c r="Y8" i="12" s="1"/>
  <c r="H6" i="12"/>
  <c r="Y27" i="12" s="1"/>
  <c r="Z27" i="12"/>
  <c r="H11" i="12"/>
  <c r="Y18" i="12" s="1"/>
  <c r="E9" i="12"/>
  <c r="Y34" i="12" s="1"/>
  <c r="H9" i="12"/>
  <c r="Y39" i="12" s="1"/>
  <c r="Z39" i="12"/>
  <c r="E8" i="12"/>
  <c r="Y19" i="12" s="1"/>
  <c r="H8" i="12"/>
  <c r="Y26" i="12" s="1"/>
  <c r="Z26" i="12"/>
  <c r="E7" i="12"/>
  <c r="Y9" i="12" s="1"/>
  <c r="H7" i="12"/>
  <c r="Y15" i="12" s="1"/>
  <c r="Z15" i="12"/>
  <c r="Y25" i="12"/>
  <c r="H12" i="12"/>
  <c r="Y17" i="12"/>
  <c r="E4" i="12"/>
  <c r="Y20" i="12" s="1"/>
  <c r="H4" i="12"/>
  <c r="Z25" i="12"/>
  <c r="H5" i="12"/>
  <c r="Y37" i="12"/>
  <c r="H13" i="12"/>
  <c r="Y38" i="12"/>
  <c r="Z7" i="12"/>
  <c r="Z12" i="12"/>
  <c r="Z23" i="12"/>
  <c r="Z10" i="12"/>
  <c r="Z35" i="12"/>
  <c r="Z22" i="12"/>
  <c r="Z41" i="12"/>
  <c r="Z4" i="12"/>
  <c r="Z5" i="12"/>
  <c r="Z14" i="12"/>
  <c r="P8" i="12"/>
  <c r="Y4" i="12" s="1"/>
  <c r="Y35" i="12"/>
  <c r="P7" i="12"/>
  <c r="Z40" i="12"/>
  <c r="Z16" i="12"/>
  <c r="P6" i="12"/>
  <c r="Y22" i="12" s="1"/>
  <c r="Z30" i="12"/>
  <c r="P13" i="12"/>
  <c r="Y12" i="12" s="1"/>
  <c r="P5" i="12"/>
  <c r="Y14" i="12" s="1"/>
  <c r="Y41" i="12"/>
  <c r="P11" i="12"/>
  <c r="Z21" i="12"/>
  <c r="P10" i="12"/>
  <c r="Y23" i="12" s="1"/>
  <c r="P12" i="12"/>
  <c r="Y5" i="12" s="1"/>
  <c r="Z13" i="12"/>
  <c r="Z33" i="12"/>
  <c r="P9" i="12"/>
  <c r="Y10" i="12" s="1"/>
  <c r="Z43" i="12"/>
  <c r="Z32" i="12"/>
  <c r="Y7" i="12"/>
  <c r="P4" i="12"/>
  <c r="Z29" i="12"/>
  <c r="Z28" i="12"/>
  <c r="S10" i="12"/>
  <c r="Y21" i="12"/>
  <c r="S11" i="12"/>
  <c r="Y33" i="12"/>
  <c r="S5" i="12"/>
  <c r="Y43" i="12" s="1"/>
  <c r="S6" i="12"/>
  <c r="Y16" i="12"/>
  <c r="S7" i="12"/>
  <c r="Y40" i="12" s="1"/>
  <c r="S8" i="12"/>
  <c r="Y32" i="12" s="1"/>
  <c r="S9" i="12"/>
  <c r="Y28" i="12" s="1"/>
  <c r="S4" i="12"/>
  <c r="Y29" i="12"/>
  <c r="S12" i="12"/>
  <c r="Y13" i="12"/>
  <c r="S13" i="12"/>
  <c r="Y30" i="12"/>
  <c r="A1" i="16" l="1" a="1"/>
  <c r="A1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<sst xmlns="http://schemas.openxmlformats.org/spreadsheetml/2006/main" count="1139" uniqueCount="131">
  <si>
    <t>Gruppennummer</t>
  </si>
  <si>
    <t>x</t>
  </si>
  <si>
    <t>Klasse</t>
  </si>
  <si>
    <t>Team</t>
  </si>
  <si>
    <t>2g</t>
  </si>
  <si>
    <t>2b</t>
  </si>
  <si>
    <t>67|68</t>
  </si>
  <si>
    <t>69|70</t>
  </si>
  <si>
    <t>73|74</t>
  </si>
  <si>
    <t>75|76</t>
  </si>
  <si>
    <t>77|78</t>
  </si>
  <si>
    <t>79|80</t>
  </si>
  <si>
    <t>81|82</t>
  </si>
  <si>
    <t>2f</t>
  </si>
  <si>
    <t>2c</t>
  </si>
  <si>
    <t>2e</t>
  </si>
  <si>
    <t>18|19</t>
  </si>
  <si>
    <t>2a</t>
  </si>
  <si>
    <t>50|51</t>
  </si>
  <si>
    <t>58|59</t>
  </si>
  <si>
    <t>2d</t>
  </si>
  <si>
    <t>26|27</t>
  </si>
  <si>
    <t>28|29</t>
  </si>
  <si>
    <t>30|31</t>
  </si>
  <si>
    <t>32|33</t>
  </si>
  <si>
    <t>34|35</t>
  </si>
  <si>
    <t>36|37</t>
  </si>
  <si>
    <t>Zeit</t>
  </si>
  <si>
    <t>Runde 1</t>
  </si>
  <si>
    <t>Spielfeld 1</t>
  </si>
  <si>
    <t>Spielfeld 2</t>
  </si>
  <si>
    <t>Time Slot</t>
  </si>
  <si>
    <t>Team A</t>
  </si>
  <si>
    <t>Punkte A</t>
  </si>
  <si>
    <t>Punkte B</t>
  </si>
  <si>
    <t>Team B</t>
  </si>
  <si>
    <t>Runde 2</t>
  </si>
  <si>
    <t>Runde 3</t>
  </si>
  <si>
    <t>Runde 4</t>
  </si>
  <si>
    <t>Runde 5</t>
  </si>
  <si>
    <t>Runde 6</t>
  </si>
  <si>
    <t>Punkte</t>
  </si>
  <si>
    <t>Siege</t>
  </si>
  <si>
    <t>52|53</t>
  </si>
  <si>
    <t>54|55</t>
  </si>
  <si>
    <t>1|2</t>
  </si>
  <si>
    <t>Namen</t>
  </si>
  <si>
    <t>3|4</t>
  </si>
  <si>
    <t>5|6</t>
  </si>
  <si>
    <t>7|8</t>
  </si>
  <si>
    <t>9|10</t>
  </si>
  <si>
    <t>11|12</t>
  </si>
  <si>
    <t>14|20</t>
  </si>
  <si>
    <t>15|16</t>
  </si>
  <si>
    <t>17|21</t>
  </si>
  <si>
    <t>22|24</t>
  </si>
  <si>
    <t>23|25</t>
  </si>
  <si>
    <t>56|57</t>
  </si>
  <si>
    <t>61|62</t>
  </si>
  <si>
    <t>63|64</t>
  </si>
  <si>
    <t>65|66</t>
  </si>
  <si>
    <t>83|89</t>
  </si>
  <si>
    <t>84|85</t>
  </si>
  <si>
    <t>86|87</t>
  </si>
  <si>
    <t>88|92</t>
  </si>
  <si>
    <t>90|93</t>
  </si>
  <si>
    <t>91|94</t>
  </si>
  <si>
    <t>Kym, Solea|Anna-Sophia, Milena</t>
  </si>
  <si>
    <t>David, Louan|Yves, Fabiano</t>
  </si>
  <si>
    <t>Moritz, Tomoya|Carl, Leandro</t>
  </si>
  <si>
    <t>Gian, Julien|Elias, Orfeo</t>
  </si>
  <si>
    <t>Lilla, Mayako|Luzia, Alicia</t>
  </si>
  <si>
    <t>Sophia, Sophie|Amelie, Elena</t>
  </si>
  <si>
    <t>Jonatan, Leonardo|Vincent, Jamie</t>
  </si>
  <si>
    <t>Milo, Sofian|Aurelio, Lorena, Lino</t>
  </si>
  <si>
    <t>Matilda, Bianca|Lina, Ileana</t>
  </si>
  <si>
    <t>Lena, Carla|Elodie, Shefa</t>
  </si>
  <si>
    <t>Ladina, Livia|Malin, Mia</t>
  </si>
  <si>
    <t>Marc, Silvan, Liam|Jonathan, Charlie</t>
  </si>
  <si>
    <t>Sophie, Nadine|Clara, Lilou</t>
  </si>
  <si>
    <t>Mila, Eva|Niklas, Rémy</t>
  </si>
  <si>
    <t>Samuel, Rafael|Lina R., Karla</t>
  </si>
  <si>
    <t>Lina A., Klara|Delia, Marta, Noëlle</t>
  </si>
  <si>
    <t>Ornob, Benjamin A.|Pascal, Eric, Benedikt</t>
  </si>
  <si>
    <t>Jakob, Juri|Benjamin, Jonas, Gabriele</t>
  </si>
  <si>
    <t>Leonard, Fynn|Flurin, Amael A, Anushanth</t>
  </si>
  <si>
    <t>Lucy, Malaeka|Linn, Caroline</t>
  </si>
  <si>
    <t>Amael Z, Min-ghi|Florin, Gabriel</t>
  </si>
  <si>
    <t>Eloi, Paula|Antonin, Valentin</t>
  </si>
  <si>
    <t>Giulia, Ella|Carla, Charlotte, Zora</t>
  </si>
  <si>
    <t>Thom, Mika|Carlo, Leo Ramseier</t>
  </si>
  <si>
    <t>Luis, Balthazar|Talia, Emilia</t>
  </si>
  <si>
    <t>Sofia, Lina H.|Flora, Polina</t>
  </si>
  <si>
    <t>Leo Rinne, Naldo|Jannik, Malik</t>
  </si>
  <si>
    <t>Andrina, Lina Z., Franca|Aaliyah, Mila</t>
  </si>
  <si>
    <t>Severin, Maksym|Anton, Laurentin</t>
  </si>
  <si>
    <t>Larissa, Melissa, Clara|Lion, Matis</t>
  </si>
  <si>
    <t>Malte, Henry|Elias, Leandro, Nio</t>
  </si>
  <si>
    <t>Alice , Ella , Amira|Julian, Cla</t>
  </si>
  <si>
    <t>Levin, Lorenzo|Artin, Julius</t>
  </si>
  <si>
    <t>Valentina, Lea|Seraina, Liv</t>
  </si>
  <si>
    <t>Valentina, Flurina|Arno, Nino</t>
  </si>
  <si>
    <t>Moira, Viola|Ruben, Jakob</t>
  </si>
  <si>
    <t>Carla, Svenja, Emily|Aran</t>
  </si>
  <si>
    <t>Benjamin, Serafin|Levi, Fabian</t>
  </si>
  <si>
    <t>Layne, Dimitri|Sophie, Viviane</t>
  </si>
  <si>
    <t>Peer, Amedeo|Anna-Lina, Antonia</t>
  </si>
  <si>
    <t>Sensor</t>
  </si>
  <si>
    <t>71|72</t>
  </si>
  <si>
    <t>13:30-13:40</t>
  </si>
  <si>
    <t>13:40-13:50</t>
  </si>
  <si>
    <t>13:55-14:05</t>
  </si>
  <si>
    <t>14:05-14:15</t>
  </si>
  <si>
    <t>15:15-15:25</t>
  </si>
  <si>
    <t>15:50-16:00</t>
  </si>
  <si>
    <t>15:40-15:50</t>
  </si>
  <si>
    <t>14:20-14:30</t>
  </si>
  <si>
    <t>14:30-14:40</t>
  </si>
  <si>
    <t>14:50-15:00</t>
  </si>
  <si>
    <t>15:00-15:10</t>
  </si>
  <si>
    <t>15:25-15:35</t>
  </si>
  <si>
    <t>Sieg A</t>
  </si>
  <si>
    <t>Sieg B</t>
  </si>
  <si>
    <t>Team L</t>
  </si>
  <si>
    <t>Torpunkte L</t>
  </si>
  <si>
    <t>Torpunkte R</t>
  </si>
  <si>
    <t>Team R</t>
  </si>
  <si>
    <t>Rangpunkte L</t>
  </si>
  <si>
    <t>Rangpunkte R</t>
  </si>
  <si>
    <t>Rangpunkte</t>
  </si>
  <si>
    <t>Torpunkte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</si>
</sst>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b/>
      <u/>
      <sz val="11"/>
      <color rgb="FF000000"/>
      <name val="Aptos Narrow"/>
      <family val="2"/>
      <scheme val="minor"/>
    </font>
    <font>
      <sz val="16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4" fillId="0" borderId="0" xfId="0" applyFont="1"/>
    <xf numFmtId="0" fontId="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0" fontId="6" fillId="0" borderId="4" xfId="0" applyNumberFormat="1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FF7273"/>
      <color rgb="FFFF71FF"/>
      <color rgb="FFFFF83F"/>
      <color rgb="FF7C7BFF"/>
      <color rgb="FF4142FF"/>
      <color rgb="FF302CFF"/>
      <color rgb="FF3F34FF"/>
      <color rgb="FFFFE722"/>
      <color rgb="FFFFFA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F316-9F01-FD41-BC87-024C50E694E4}">
  <dimension ref="A1:D81"/>
  <sheetViews>
    <sheetView topLeftCell="A49" workbookViewId="0">
      <selection activeCell="F15" sqref="F15"/>
    </sheetView>
  </sheetViews>
  <sheetFormatPr baseColWidth="10" defaultColWidth="11.5" defaultRowHeight="15" x14ac:dyDescent="0.2"/>
  <cols>
    <col min="1" max="1" width="15.83203125" style="1" customWidth="1"/>
    <col min="2" max="3" width="11.83203125" customWidth="1"/>
  </cols>
  <sheetData>
    <row r="1" spans="1:4" x14ac:dyDescent="0.2">
      <c r="A1" s="2" t="s">
        <v>0</v>
      </c>
      <c r="B1" s="2" t="s">
        <v>27</v>
      </c>
      <c r="C1" s="4" t="s">
        <v>107</v>
      </c>
      <c r="D1" s="4" t="s">
        <v>2</v>
      </c>
    </row>
    <row r="2" spans="1:4" x14ac:dyDescent="0.2">
      <c r="A2" s="1">
        <v>1</v>
      </c>
      <c r="B2">
        <v>40.090000000000003</v>
      </c>
      <c r="C2" s="1" t="s">
        <v>1</v>
      </c>
      <c r="D2" t="s">
        <v>14</v>
      </c>
    </row>
    <row r="3" spans="1:4" x14ac:dyDescent="0.2">
      <c r="A3" s="1">
        <v>2</v>
      </c>
      <c r="B3">
        <v>39.99</v>
      </c>
      <c r="C3" s="1" t="s">
        <v>1</v>
      </c>
      <c r="D3" t="s">
        <v>14</v>
      </c>
    </row>
    <row r="4" spans="1:4" x14ac:dyDescent="0.2">
      <c r="A4" s="1">
        <v>3</v>
      </c>
      <c r="B4" s="3">
        <v>32.380000000000003</v>
      </c>
      <c r="C4" s="1" t="s">
        <v>1</v>
      </c>
      <c r="D4" t="s">
        <v>14</v>
      </c>
    </row>
    <row r="5" spans="1:4" x14ac:dyDescent="0.2">
      <c r="A5" s="1">
        <v>4</v>
      </c>
      <c r="B5" s="3" t="s">
        <v>1</v>
      </c>
      <c r="C5" s="1"/>
      <c r="D5" t="s">
        <v>14</v>
      </c>
    </row>
    <row r="6" spans="1:4" x14ac:dyDescent="0.2">
      <c r="A6" s="1">
        <v>5</v>
      </c>
      <c r="B6" s="3" t="s">
        <v>1</v>
      </c>
      <c r="C6" s="1"/>
      <c r="D6" t="s">
        <v>14</v>
      </c>
    </row>
    <row r="7" spans="1:4" x14ac:dyDescent="0.2">
      <c r="A7" s="1">
        <v>6</v>
      </c>
      <c r="B7" s="3" t="s">
        <v>1</v>
      </c>
      <c r="C7" s="1"/>
      <c r="D7" t="s">
        <v>14</v>
      </c>
    </row>
    <row r="8" spans="1:4" x14ac:dyDescent="0.2">
      <c r="A8" s="1">
        <v>7</v>
      </c>
      <c r="B8" s="3">
        <v>19.22</v>
      </c>
      <c r="C8" s="1" t="s">
        <v>1</v>
      </c>
      <c r="D8" t="s">
        <v>14</v>
      </c>
    </row>
    <row r="9" spans="1:4" x14ac:dyDescent="0.2">
      <c r="A9" s="1">
        <v>8</v>
      </c>
      <c r="B9" s="3">
        <v>18.45</v>
      </c>
      <c r="C9" s="1" t="s">
        <v>1</v>
      </c>
      <c r="D9" t="s">
        <v>14</v>
      </c>
    </row>
    <row r="10" spans="1:4" x14ac:dyDescent="0.2">
      <c r="A10" s="1">
        <v>9</v>
      </c>
      <c r="B10" s="3" t="s">
        <v>1</v>
      </c>
      <c r="C10" s="1"/>
      <c r="D10" t="s">
        <v>14</v>
      </c>
    </row>
    <row r="11" spans="1:4" x14ac:dyDescent="0.2">
      <c r="A11" s="1">
        <v>10</v>
      </c>
      <c r="B11" s="3" t="s">
        <v>1</v>
      </c>
      <c r="C11" s="1"/>
      <c r="D11" t="s">
        <v>14</v>
      </c>
    </row>
    <row r="12" spans="1:4" x14ac:dyDescent="0.2">
      <c r="A12" s="1">
        <v>11</v>
      </c>
      <c r="B12" s="3" t="s">
        <v>1</v>
      </c>
      <c r="C12" s="1"/>
      <c r="D12" t="s">
        <v>14</v>
      </c>
    </row>
    <row r="13" spans="1:4" x14ac:dyDescent="0.2">
      <c r="A13" s="1">
        <v>12</v>
      </c>
      <c r="B13" s="3">
        <v>16.88</v>
      </c>
      <c r="C13" s="1" t="s">
        <v>1</v>
      </c>
      <c r="D13" t="s">
        <v>14</v>
      </c>
    </row>
    <row r="14" spans="1:4" x14ac:dyDescent="0.2">
      <c r="A14" s="1">
        <v>14</v>
      </c>
      <c r="B14">
        <v>19.36</v>
      </c>
      <c r="C14" s="1" t="s">
        <v>1</v>
      </c>
      <c r="D14" t="s">
        <v>15</v>
      </c>
    </row>
    <row r="15" spans="1:4" x14ac:dyDescent="0.2">
      <c r="A15" s="1">
        <v>15</v>
      </c>
      <c r="B15">
        <v>16.309999999999999</v>
      </c>
      <c r="C15" s="1" t="s">
        <v>1</v>
      </c>
      <c r="D15" t="s">
        <v>15</v>
      </c>
    </row>
    <row r="16" spans="1:4" x14ac:dyDescent="0.2">
      <c r="A16" s="1">
        <v>16</v>
      </c>
      <c r="B16" s="3" t="s">
        <v>1</v>
      </c>
      <c r="C16" s="1"/>
      <c r="D16" t="s">
        <v>15</v>
      </c>
    </row>
    <row r="17" spans="1:4" x14ac:dyDescent="0.2">
      <c r="A17" s="1">
        <v>17</v>
      </c>
      <c r="B17">
        <v>17.690000000000001</v>
      </c>
      <c r="C17" s="1" t="s">
        <v>1</v>
      </c>
      <c r="D17" t="s">
        <v>15</v>
      </c>
    </row>
    <row r="18" spans="1:4" x14ac:dyDescent="0.2">
      <c r="A18" s="1">
        <v>18</v>
      </c>
      <c r="B18">
        <v>17.96</v>
      </c>
      <c r="C18" s="1" t="s">
        <v>1</v>
      </c>
      <c r="D18" t="s">
        <v>15</v>
      </c>
    </row>
    <row r="19" spans="1:4" x14ac:dyDescent="0.2">
      <c r="A19" s="1">
        <v>19</v>
      </c>
      <c r="B19">
        <v>16.96</v>
      </c>
      <c r="C19" s="1" t="s">
        <v>1</v>
      </c>
      <c r="D19" t="s">
        <v>15</v>
      </c>
    </row>
    <row r="20" spans="1:4" x14ac:dyDescent="0.2">
      <c r="A20" s="1">
        <v>20</v>
      </c>
      <c r="B20">
        <v>20.86</v>
      </c>
      <c r="C20" s="1" t="s">
        <v>1</v>
      </c>
      <c r="D20" t="s">
        <v>15</v>
      </c>
    </row>
    <row r="21" spans="1:4" x14ac:dyDescent="0.2">
      <c r="A21" s="1">
        <v>21</v>
      </c>
      <c r="B21">
        <v>16.760000000000002</v>
      </c>
      <c r="C21" s="1" t="s">
        <v>1</v>
      </c>
      <c r="D21" t="s">
        <v>15</v>
      </c>
    </row>
    <row r="22" spans="1:4" x14ac:dyDescent="0.2">
      <c r="A22" s="1">
        <v>22</v>
      </c>
      <c r="B22" s="3" t="s">
        <v>1</v>
      </c>
      <c r="C22" s="1"/>
      <c r="D22" t="s">
        <v>15</v>
      </c>
    </row>
    <row r="23" spans="1:4" x14ac:dyDescent="0.2">
      <c r="A23" s="1">
        <v>23</v>
      </c>
      <c r="B23">
        <v>16.54</v>
      </c>
      <c r="C23" s="1" t="s">
        <v>1</v>
      </c>
      <c r="D23" t="s">
        <v>15</v>
      </c>
    </row>
    <row r="24" spans="1:4" x14ac:dyDescent="0.2">
      <c r="A24" s="1">
        <v>24</v>
      </c>
      <c r="B24" s="3" t="s">
        <v>1</v>
      </c>
      <c r="C24" s="1"/>
      <c r="D24" t="s">
        <v>15</v>
      </c>
    </row>
    <row r="25" spans="1:4" x14ac:dyDescent="0.2">
      <c r="A25" s="1">
        <v>25</v>
      </c>
      <c r="B25">
        <v>16.48</v>
      </c>
      <c r="C25" s="1" t="s">
        <v>1</v>
      </c>
      <c r="D25" t="s">
        <v>15</v>
      </c>
    </row>
    <row r="26" spans="1:4" x14ac:dyDescent="0.2">
      <c r="A26" s="1">
        <v>26</v>
      </c>
      <c r="B26">
        <v>21.31</v>
      </c>
      <c r="C26" s="1" t="s">
        <v>1</v>
      </c>
      <c r="D26" t="s">
        <v>20</v>
      </c>
    </row>
    <row r="27" spans="1:4" x14ac:dyDescent="0.2">
      <c r="A27" s="1">
        <v>27</v>
      </c>
      <c r="B27">
        <v>18.97</v>
      </c>
      <c r="C27" s="1" t="s">
        <v>1</v>
      </c>
      <c r="D27" t="s">
        <v>20</v>
      </c>
    </row>
    <row r="28" spans="1:4" x14ac:dyDescent="0.2">
      <c r="A28" s="1">
        <v>28</v>
      </c>
      <c r="B28" s="3">
        <v>23.78</v>
      </c>
      <c r="C28" s="1" t="s">
        <v>1</v>
      </c>
      <c r="D28" t="s">
        <v>20</v>
      </c>
    </row>
    <row r="29" spans="1:4" x14ac:dyDescent="0.2">
      <c r="A29" s="1">
        <v>29</v>
      </c>
      <c r="B29">
        <v>32.020000000000003</v>
      </c>
      <c r="C29" s="1" t="s">
        <v>1</v>
      </c>
      <c r="D29" t="s">
        <v>20</v>
      </c>
    </row>
    <row r="30" spans="1:4" x14ac:dyDescent="0.2">
      <c r="A30" s="1">
        <v>30</v>
      </c>
      <c r="B30">
        <v>30.47</v>
      </c>
      <c r="C30" s="1" t="s">
        <v>1</v>
      </c>
      <c r="D30" t="s">
        <v>20</v>
      </c>
    </row>
    <row r="31" spans="1:4" x14ac:dyDescent="0.2">
      <c r="A31" s="1">
        <v>31</v>
      </c>
      <c r="B31" s="3" t="s">
        <v>1</v>
      </c>
      <c r="C31" s="1"/>
      <c r="D31" t="s">
        <v>20</v>
      </c>
    </row>
    <row r="32" spans="1:4" x14ac:dyDescent="0.2">
      <c r="A32" s="1">
        <v>32</v>
      </c>
      <c r="B32">
        <v>32.479999999999997</v>
      </c>
      <c r="C32" s="1" t="s">
        <v>1</v>
      </c>
      <c r="D32" t="s">
        <v>20</v>
      </c>
    </row>
    <row r="33" spans="1:4" x14ac:dyDescent="0.2">
      <c r="A33" s="1">
        <v>33</v>
      </c>
      <c r="B33" s="3" t="s">
        <v>1</v>
      </c>
      <c r="C33" s="1"/>
      <c r="D33" t="s">
        <v>20</v>
      </c>
    </row>
    <row r="34" spans="1:4" x14ac:dyDescent="0.2">
      <c r="A34" s="1">
        <v>34</v>
      </c>
      <c r="B34">
        <v>13.12</v>
      </c>
      <c r="C34" s="1"/>
      <c r="D34" t="s">
        <v>20</v>
      </c>
    </row>
    <row r="35" spans="1:4" x14ac:dyDescent="0.2">
      <c r="A35" s="1">
        <v>35</v>
      </c>
      <c r="B35" s="3" t="s">
        <v>1</v>
      </c>
      <c r="C35" s="1"/>
      <c r="D35" t="s">
        <v>20</v>
      </c>
    </row>
    <row r="36" spans="1:4" x14ac:dyDescent="0.2">
      <c r="A36" s="1">
        <v>36</v>
      </c>
      <c r="B36" s="3" t="s">
        <v>1</v>
      </c>
      <c r="C36" s="1"/>
      <c r="D36" t="s">
        <v>20</v>
      </c>
    </row>
    <row r="37" spans="1:4" x14ac:dyDescent="0.2">
      <c r="A37" s="1">
        <v>37</v>
      </c>
      <c r="B37">
        <v>9.8800000000000008</v>
      </c>
      <c r="C37" s="1"/>
      <c r="D37" t="s">
        <v>20</v>
      </c>
    </row>
    <row r="38" spans="1:4" x14ac:dyDescent="0.2">
      <c r="A38" s="1">
        <v>50</v>
      </c>
      <c r="B38">
        <v>34.14</v>
      </c>
      <c r="C38" s="1" t="s">
        <v>1</v>
      </c>
      <c r="D38" t="s">
        <v>17</v>
      </c>
    </row>
    <row r="39" spans="1:4" x14ac:dyDescent="0.2">
      <c r="A39" s="1">
        <v>51</v>
      </c>
      <c r="B39">
        <v>19.989999999999998</v>
      </c>
      <c r="C39" s="1" t="s">
        <v>1</v>
      </c>
      <c r="D39" t="s">
        <v>17</v>
      </c>
    </row>
    <row r="40" spans="1:4" x14ac:dyDescent="0.2">
      <c r="A40" s="1">
        <v>52</v>
      </c>
      <c r="B40">
        <v>17.52</v>
      </c>
      <c r="C40" s="1" t="s">
        <v>1</v>
      </c>
      <c r="D40" t="s">
        <v>17</v>
      </c>
    </row>
    <row r="41" spans="1:4" x14ac:dyDescent="0.2">
      <c r="A41" s="1">
        <v>53</v>
      </c>
      <c r="B41">
        <v>20.84</v>
      </c>
      <c r="C41" s="1" t="s">
        <v>1</v>
      </c>
      <c r="D41" t="s">
        <v>17</v>
      </c>
    </row>
    <row r="42" spans="1:4" x14ac:dyDescent="0.2">
      <c r="A42" s="1">
        <v>54</v>
      </c>
      <c r="B42">
        <v>20.309999999999999</v>
      </c>
      <c r="C42" s="1" t="s">
        <v>1</v>
      </c>
      <c r="D42" t="s">
        <v>17</v>
      </c>
    </row>
    <row r="43" spans="1:4" x14ac:dyDescent="0.2">
      <c r="A43" s="1">
        <v>55</v>
      </c>
      <c r="B43">
        <v>18.66</v>
      </c>
      <c r="C43" s="1" t="s">
        <v>1</v>
      </c>
      <c r="D43" t="s">
        <v>17</v>
      </c>
    </row>
    <row r="44" spans="1:4" x14ac:dyDescent="0.2">
      <c r="A44" s="1">
        <v>56</v>
      </c>
      <c r="B44">
        <v>16.89</v>
      </c>
      <c r="C44" s="1" t="s">
        <v>1</v>
      </c>
      <c r="D44" t="s">
        <v>17</v>
      </c>
    </row>
    <row r="45" spans="1:4" x14ac:dyDescent="0.2">
      <c r="A45" s="1">
        <v>57</v>
      </c>
      <c r="B45">
        <v>16.36</v>
      </c>
      <c r="C45" s="1" t="s">
        <v>1</v>
      </c>
      <c r="D45" t="s">
        <v>17</v>
      </c>
    </row>
    <row r="46" spans="1:4" x14ac:dyDescent="0.2">
      <c r="A46" s="1">
        <v>58</v>
      </c>
      <c r="B46">
        <v>24.3</v>
      </c>
      <c r="C46" s="1" t="s">
        <v>1</v>
      </c>
      <c r="D46" t="s">
        <v>17</v>
      </c>
    </row>
    <row r="47" spans="1:4" x14ac:dyDescent="0.2">
      <c r="A47" s="1">
        <v>59</v>
      </c>
      <c r="B47">
        <v>14.4</v>
      </c>
      <c r="C47" s="1" t="s">
        <v>1</v>
      </c>
      <c r="D47" t="s">
        <v>17</v>
      </c>
    </row>
    <row r="48" spans="1:4" x14ac:dyDescent="0.2">
      <c r="A48" s="1">
        <v>61</v>
      </c>
      <c r="B48">
        <v>15.56</v>
      </c>
      <c r="C48" s="1" t="s">
        <v>1</v>
      </c>
      <c r="D48" t="s">
        <v>4</v>
      </c>
    </row>
    <row r="49" spans="1:4" x14ac:dyDescent="0.2">
      <c r="A49" s="1">
        <v>62</v>
      </c>
      <c r="B49" s="3" t="s">
        <v>1</v>
      </c>
      <c r="D49" t="s">
        <v>4</v>
      </c>
    </row>
    <row r="50" spans="1:4" x14ac:dyDescent="0.2">
      <c r="A50" s="1">
        <v>63</v>
      </c>
      <c r="B50">
        <v>25.65</v>
      </c>
      <c r="C50" s="1" t="s">
        <v>1</v>
      </c>
      <c r="D50" t="s">
        <v>4</v>
      </c>
    </row>
    <row r="51" spans="1:4" x14ac:dyDescent="0.2">
      <c r="A51" s="1">
        <v>64</v>
      </c>
      <c r="B51">
        <v>13.98</v>
      </c>
      <c r="C51" s="1" t="s">
        <v>1</v>
      </c>
      <c r="D51" t="s">
        <v>4</v>
      </c>
    </row>
    <row r="52" spans="1:4" x14ac:dyDescent="0.2">
      <c r="A52" s="1">
        <v>65</v>
      </c>
      <c r="B52">
        <v>18</v>
      </c>
      <c r="C52" s="1" t="s">
        <v>1</v>
      </c>
      <c r="D52" t="s">
        <v>4</v>
      </c>
    </row>
    <row r="53" spans="1:4" x14ac:dyDescent="0.2">
      <c r="A53" s="1">
        <v>66</v>
      </c>
      <c r="B53">
        <v>18.510000000000002</v>
      </c>
      <c r="C53" s="1" t="s">
        <v>1</v>
      </c>
      <c r="D53" t="s">
        <v>4</v>
      </c>
    </row>
    <row r="54" spans="1:4" x14ac:dyDescent="0.2">
      <c r="A54" s="1">
        <v>67</v>
      </c>
      <c r="B54">
        <v>18.850000000000001</v>
      </c>
      <c r="C54" s="1" t="s">
        <v>1</v>
      </c>
      <c r="D54" t="s">
        <v>4</v>
      </c>
    </row>
    <row r="55" spans="1:4" x14ac:dyDescent="0.2">
      <c r="A55" s="1">
        <v>68</v>
      </c>
      <c r="B55">
        <v>20.420000000000002</v>
      </c>
      <c r="C55" s="1" t="s">
        <v>1</v>
      </c>
      <c r="D55" t="s">
        <v>4</v>
      </c>
    </row>
    <row r="56" spans="1:4" x14ac:dyDescent="0.2">
      <c r="A56" s="1">
        <v>69</v>
      </c>
      <c r="B56">
        <v>32.26</v>
      </c>
      <c r="C56" s="1" t="s">
        <v>1</v>
      </c>
      <c r="D56" t="s">
        <v>4</v>
      </c>
    </row>
    <row r="57" spans="1:4" x14ac:dyDescent="0.2">
      <c r="A57" s="1">
        <v>70</v>
      </c>
      <c r="B57">
        <v>16.57</v>
      </c>
      <c r="C57" s="1" t="s">
        <v>1</v>
      </c>
      <c r="D57" t="s">
        <v>4</v>
      </c>
    </row>
    <row r="58" spans="1:4" x14ac:dyDescent="0.2">
      <c r="A58" s="1">
        <v>71</v>
      </c>
      <c r="B58">
        <v>28.32</v>
      </c>
      <c r="C58" s="1" t="s">
        <v>1</v>
      </c>
      <c r="D58" t="s">
        <v>4</v>
      </c>
    </row>
    <row r="59" spans="1:4" x14ac:dyDescent="0.2">
      <c r="A59" s="1">
        <v>72</v>
      </c>
      <c r="B59">
        <v>9.82</v>
      </c>
      <c r="C59" s="1" t="s">
        <v>1</v>
      </c>
      <c r="D59" t="s">
        <v>4</v>
      </c>
    </row>
    <row r="60" spans="1:4" x14ac:dyDescent="0.2">
      <c r="A60" s="1">
        <v>73</v>
      </c>
      <c r="B60">
        <v>10.47</v>
      </c>
      <c r="D60" t="s">
        <v>5</v>
      </c>
    </row>
    <row r="61" spans="1:4" x14ac:dyDescent="0.2">
      <c r="A61" s="1">
        <v>74</v>
      </c>
      <c r="B61">
        <v>12.38</v>
      </c>
      <c r="C61" s="1" t="s">
        <v>1</v>
      </c>
      <c r="D61" t="s">
        <v>5</v>
      </c>
    </row>
    <row r="62" spans="1:4" x14ac:dyDescent="0.2">
      <c r="A62" s="1">
        <v>75</v>
      </c>
      <c r="B62">
        <v>10.17</v>
      </c>
      <c r="D62" t="s">
        <v>5</v>
      </c>
    </row>
    <row r="63" spans="1:4" x14ac:dyDescent="0.2">
      <c r="A63" s="1">
        <v>76</v>
      </c>
      <c r="B63">
        <v>10.27</v>
      </c>
      <c r="D63" t="s">
        <v>5</v>
      </c>
    </row>
    <row r="64" spans="1:4" x14ac:dyDescent="0.2">
      <c r="A64" s="1">
        <v>77</v>
      </c>
      <c r="B64">
        <v>10.44</v>
      </c>
      <c r="C64" s="1" t="s">
        <v>1</v>
      </c>
      <c r="D64" t="s">
        <v>5</v>
      </c>
    </row>
    <row r="65" spans="1:4" x14ac:dyDescent="0.2">
      <c r="A65" s="1">
        <v>78</v>
      </c>
      <c r="B65">
        <v>10.199999999999999</v>
      </c>
      <c r="C65" s="1"/>
      <c r="D65" t="s">
        <v>5</v>
      </c>
    </row>
    <row r="66" spans="1:4" x14ac:dyDescent="0.2">
      <c r="A66" s="1">
        <v>79</v>
      </c>
      <c r="B66">
        <v>10.220000000000001</v>
      </c>
      <c r="C66" s="1"/>
      <c r="D66" t="s">
        <v>5</v>
      </c>
    </row>
    <row r="67" spans="1:4" x14ac:dyDescent="0.2">
      <c r="A67" s="1">
        <v>80</v>
      </c>
      <c r="B67">
        <v>10.1</v>
      </c>
      <c r="C67" s="1"/>
      <c r="D67" t="s">
        <v>5</v>
      </c>
    </row>
    <row r="68" spans="1:4" x14ac:dyDescent="0.2">
      <c r="A68" s="1">
        <v>81</v>
      </c>
      <c r="B68">
        <v>10.1</v>
      </c>
      <c r="C68" s="1"/>
      <c r="D68" t="s">
        <v>5</v>
      </c>
    </row>
    <row r="69" spans="1:4" x14ac:dyDescent="0.2">
      <c r="A69" s="1">
        <v>82</v>
      </c>
      <c r="B69">
        <v>10.23</v>
      </c>
      <c r="C69" s="1"/>
      <c r="D69" t="s">
        <v>5</v>
      </c>
    </row>
    <row r="70" spans="1:4" x14ac:dyDescent="0.2">
      <c r="A70" s="1">
        <v>83</v>
      </c>
      <c r="B70">
        <v>18.11</v>
      </c>
      <c r="C70" s="1" t="s">
        <v>1</v>
      </c>
      <c r="D70" t="s">
        <v>13</v>
      </c>
    </row>
    <row r="71" spans="1:4" x14ac:dyDescent="0.2">
      <c r="A71" s="1">
        <v>84</v>
      </c>
      <c r="B71">
        <v>18.91</v>
      </c>
      <c r="C71" s="1" t="s">
        <v>1</v>
      </c>
      <c r="D71" t="s">
        <v>13</v>
      </c>
    </row>
    <row r="72" spans="1:4" x14ac:dyDescent="0.2">
      <c r="A72" s="1">
        <v>85</v>
      </c>
      <c r="B72">
        <v>10.66</v>
      </c>
      <c r="C72" s="1"/>
      <c r="D72" t="s">
        <v>13</v>
      </c>
    </row>
    <row r="73" spans="1:4" x14ac:dyDescent="0.2">
      <c r="A73" s="1">
        <v>86</v>
      </c>
      <c r="B73" s="3">
        <v>16.88</v>
      </c>
      <c r="C73" s="1" t="s">
        <v>1</v>
      </c>
      <c r="D73" t="s">
        <v>13</v>
      </c>
    </row>
    <row r="74" spans="1:4" x14ac:dyDescent="0.2">
      <c r="A74" s="1">
        <v>87</v>
      </c>
      <c r="B74" s="3">
        <v>16.420000000000002</v>
      </c>
      <c r="C74" s="1" t="s">
        <v>1</v>
      </c>
      <c r="D74" t="s">
        <v>13</v>
      </c>
    </row>
    <row r="75" spans="1:4" x14ac:dyDescent="0.2">
      <c r="A75" s="1">
        <v>88</v>
      </c>
      <c r="B75">
        <v>10.58</v>
      </c>
      <c r="C75" s="1"/>
      <c r="D75" t="s">
        <v>13</v>
      </c>
    </row>
    <row r="76" spans="1:4" x14ac:dyDescent="0.2">
      <c r="A76" s="1">
        <v>89</v>
      </c>
      <c r="B76">
        <v>10.33</v>
      </c>
      <c r="C76" s="1"/>
      <c r="D76" t="s">
        <v>13</v>
      </c>
    </row>
    <row r="77" spans="1:4" x14ac:dyDescent="0.2">
      <c r="A77" s="1">
        <v>90</v>
      </c>
      <c r="B77" s="3">
        <v>9.9700000000000006</v>
      </c>
      <c r="C77" s="1"/>
      <c r="D77" t="s">
        <v>13</v>
      </c>
    </row>
    <row r="78" spans="1:4" x14ac:dyDescent="0.2">
      <c r="A78" s="1">
        <v>91</v>
      </c>
      <c r="B78" s="3">
        <v>9.67</v>
      </c>
      <c r="C78" s="1"/>
      <c r="D78" t="s">
        <v>13</v>
      </c>
    </row>
    <row r="79" spans="1:4" x14ac:dyDescent="0.2">
      <c r="A79" s="1">
        <v>92</v>
      </c>
      <c r="B79" s="3">
        <v>10.37</v>
      </c>
      <c r="C79" s="1"/>
      <c r="D79" t="s">
        <v>13</v>
      </c>
    </row>
    <row r="80" spans="1:4" x14ac:dyDescent="0.2">
      <c r="A80" s="1">
        <v>93</v>
      </c>
      <c r="B80" s="3">
        <v>23.94</v>
      </c>
      <c r="C80" s="1" t="s">
        <v>1</v>
      </c>
      <c r="D80" t="s">
        <v>13</v>
      </c>
    </row>
    <row r="81" spans="1:4" x14ac:dyDescent="0.2">
      <c r="A81" s="1">
        <v>94</v>
      </c>
      <c r="B81">
        <v>17.3</v>
      </c>
      <c r="C81" s="1" t="s">
        <v>1</v>
      </c>
      <c r="D81" t="s">
        <v>13</v>
      </c>
    </row>
  </sheetData>
  <sheetProtection sheet="1" objects="1" scenarios="1"/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1A25-7996-7A46-826A-C481A5ABF70E}">
  <dimension ref="A1:AA99"/>
  <sheetViews>
    <sheetView tabSelected="1" zoomScale="89" workbookViewId="0">
      <selection activeCell="Q4" sqref="Q4:R13"/>
    </sheetView>
  </sheetViews>
  <sheetFormatPr baseColWidth="10" defaultColWidth="10.83203125" defaultRowHeight="15" x14ac:dyDescent="0.2"/>
  <cols>
    <col min="1" max="1" width="10.1640625" customWidth="1"/>
    <col min="2" max="2" width="15.83203125" customWidth="1"/>
    <col min="3" max="3" width="10.83203125" customWidth="1"/>
    <col min="13" max="13" width="15.83203125" customWidth="1"/>
    <col min="25" max="25" width="16" customWidth="1"/>
  </cols>
  <sheetData>
    <row r="1" spans="1:27" ht="27" x14ac:dyDescent="0.35">
      <c r="B1" s="26" t="s">
        <v>28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4"/>
      <c r="W1" s="5"/>
    </row>
    <row r="2" spans="1:27" ht="22" x14ac:dyDescent="0.2">
      <c r="A2" s="7"/>
      <c r="B2" s="27" t="s">
        <v>29</v>
      </c>
      <c r="C2" s="27"/>
      <c r="D2" s="27"/>
      <c r="E2" s="27"/>
      <c r="F2" s="27"/>
      <c r="G2" s="27"/>
      <c r="H2" s="27"/>
      <c r="I2" s="27"/>
      <c r="J2" s="27"/>
      <c r="K2" s="8"/>
      <c r="L2" s="9"/>
      <c r="M2" s="27" t="s">
        <v>30</v>
      </c>
      <c r="N2" s="27"/>
      <c r="O2" s="27"/>
      <c r="P2" s="27"/>
      <c r="Q2" s="27"/>
      <c r="R2" s="27"/>
      <c r="S2" s="27"/>
      <c r="T2" s="27"/>
      <c r="U2" s="27"/>
      <c r="V2" s="10"/>
    </row>
    <row r="3" spans="1:27" x14ac:dyDescent="0.2">
      <c r="A3" s="6"/>
      <c r="B3" s="11" t="s">
        <v>27</v>
      </c>
      <c r="C3" s="11" t="s">
        <v>2</v>
      </c>
      <c r="D3" s="11" t="s">
        <v>32</v>
      </c>
      <c r="E3" s="11" t="s">
        <v>121</v>
      </c>
      <c r="F3" s="11" t="s">
        <v>33</v>
      </c>
      <c r="G3" s="11" t="s">
        <v>34</v>
      </c>
      <c r="H3" s="11" t="s">
        <v>122</v>
      </c>
      <c r="I3" s="11" t="s">
        <v>35</v>
      </c>
      <c r="J3" s="11" t="s">
        <v>2</v>
      </c>
      <c r="K3" s="7"/>
      <c r="L3" s="7"/>
      <c r="M3" s="11" t="s">
        <v>27</v>
      </c>
      <c r="N3" s="11" t="s">
        <v>2</v>
      </c>
      <c r="O3" s="11" t="s">
        <v>32</v>
      </c>
      <c r="P3" s="11" t="s">
        <v>121</v>
      </c>
      <c r="Q3" s="11" t="s">
        <v>33</v>
      </c>
      <c r="R3" s="11" t="s">
        <v>34</v>
      </c>
      <c r="S3" s="11" t="s">
        <v>122</v>
      </c>
      <c r="T3" s="11" t="s">
        <v>35</v>
      </c>
      <c r="U3" s="11" t="s">
        <v>2</v>
      </c>
      <c r="V3" s="5"/>
      <c r="W3" s="14"/>
      <c r="X3" s="14" t="s">
        <v>2</v>
      </c>
      <c r="Y3" s="14" t="s">
        <v>0</v>
      </c>
      <c r="Z3" s="14" t="s">
        <v>41</v>
      </c>
      <c r="AA3" s="14" t="s">
        <v>42</v>
      </c>
    </row>
    <row r="4" spans="1:27" ht="22" x14ac:dyDescent="0.2">
      <c r="A4" s="7"/>
      <c r="B4" s="28" t="s">
        <v>109</v>
      </c>
      <c r="C4" s="17" t="s">
        <v>17</v>
      </c>
      <c r="D4" s="17">
        <v>57</v>
      </c>
      <c r="E4" s="16">
        <f>IF(F4 &gt; G4, 1, "")</f>
        <v>1</v>
      </c>
      <c r="F4" s="16">
        <v>6</v>
      </c>
      <c r="G4" s="16">
        <v>4</v>
      </c>
      <c r="H4" s="16" t="str">
        <f>IF(G4 &gt; F4, 1, "")</f>
        <v/>
      </c>
      <c r="I4" s="17">
        <v>82</v>
      </c>
      <c r="J4" s="17" t="s">
        <v>5</v>
      </c>
      <c r="K4" s="7"/>
      <c r="L4" s="13"/>
      <c r="M4" s="28" t="s">
        <v>109</v>
      </c>
      <c r="N4" s="17" t="s">
        <v>14</v>
      </c>
      <c r="O4" s="17">
        <v>10</v>
      </c>
      <c r="P4" s="16" t="str">
        <f>IF(Q4 &gt; R4, 1, "")</f>
        <v/>
      </c>
      <c r="Q4" s="16">
        <v>3</v>
      </c>
      <c r="R4" s="16">
        <v>7</v>
      </c>
      <c r="S4" s="16">
        <f>IF(R4 &gt; Q4, 1, "")</f>
        <v>1</v>
      </c>
      <c r="T4" s="17">
        <v>63</v>
      </c>
      <c r="U4" s="17" t="s">
        <v>4</v>
      </c>
      <c r="X4" t="s">
        <v>14</v>
      </c>
      <c r="Y4" s="1">
        <v>1</v>
      </c>
      <c r="Z4">
        <f t="shared" ref="Z4:Z43" si="0">SUMIF(D$4:D$88,Y4,F$4:F$88)+SUMIF(I$4:I$88,Y4,G$4:G$88)+SUMIF(O$4:O$88,Y4,Q$4:Q$88)+SUMIF(T$4:T$88,Y4,R$4:R$88)</f>
        <v>5</v>
      </c>
      <c r="AA4">
        <f>SUMIF(D$4:D$88,Y4,E$4:E$88)+SUMIF(I$4:I$88,Y4,H$4:H$88)+SUMIF(O$4:O$88,Y4,P$4:P$88)+SUMIF(T$4:T$88,Y4,S$4:S$88)</f>
        <v>0</v>
      </c>
    </row>
    <row r="5" spans="1:27" ht="22" x14ac:dyDescent="0.2">
      <c r="A5" s="7"/>
      <c r="B5" s="28"/>
      <c r="C5" s="17" t="s">
        <v>14</v>
      </c>
      <c r="D5" s="17">
        <v>6</v>
      </c>
      <c r="E5" s="16" t="str">
        <f t="shared" ref="E5:E13" si="1">IF(F5 &gt; G5, 1, "")</f>
        <v/>
      </c>
      <c r="F5" s="16">
        <v>0</v>
      </c>
      <c r="G5" s="16">
        <v>10</v>
      </c>
      <c r="H5" s="16">
        <f t="shared" ref="H5:H13" si="2">IF(G5 &gt; F5, 1, "")</f>
        <v>1</v>
      </c>
      <c r="I5" s="17">
        <v>32</v>
      </c>
      <c r="J5" s="17" t="s">
        <v>20</v>
      </c>
      <c r="K5" s="7"/>
      <c r="L5" s="13"/>
      <c r="M5" s="28"/>
      <c r="N5" s="17" t="s">
        <v>15</v>
      </c>
      <c r="O5" s="17">
        <v>15</v>
      </c>
      <c r="P5" s="16" t="str">
        <f t="shared" ref="P5:P13" si="3">IF(Q5 &gt; R5, 1, "")</f>
        <v/>
      </c>
      <c r="Q5" s="16">
        <v>2</v>
      </c>
      <c r="R5" s="16">
        <v>8</v>
      </c>
      <c r="S5" s="16">
        <f t="shared" ref="S5:S13" si="4">IF(R5 &gt; Q5, 1, "")</f>
        <v>1</v>
      </c>
      <c r="T5" s="17">
        <v>84</v>
      </c>
      <c r="U5" s="17" t="s">
        <v>13</v>
      </c>
      <c r="X5" t="s">
        <v>14</v>
      </c>
      <c r="Y5" s="1">
        <v>3</v>
      </c>
      <c r="Z5">
        <f t="shared" si="0"/>
        <v>4</v>
      </c>
      <c r="AA5">
        <f t="shared" ref="AA5:AA43" si="5">SUMIF(D$4:D$88,Y5,E$4:E$88)+SUMIF(I$4:I$88,Y5,H$4:H$88)+SUMIF(O$4:O$88,Y5,P$4:P$88)+SUMIF(T$4:T$88,Y5,S$4:S$88)</f>
        <v>0</v>
      </c>
    </row>
    <row r="6" spans="1:27" ht="22" x14ac:dyDescent="0.2">
      <c r="A6" s="7"/>
      <c r="B6" s="28"/>
      <c r="C6" s="17" t="s">
        <v>15</v>
      </c>
      <c r="D6" s="17">
        <v>18</v>
      </c>
      <c r="E6" s="16" t="str">
        <f t="shared" si="1"/>
        <v/>
      </c>
      <c r="F6" s="16">
        <v>3</v>
      </c>
      <c r="G6" s="16">
        <v>7</v>
      </c>
      <c r="H6" s="16">
        <f t="shared" si="2"/>
        <v>1</v>
      </c>
      <c r="I6" s="17">
        <v>93</v>
      </c>
      <c r="J6" s="17" t="s">
        <v>13</v>
      </c>
      <c r="K6" s="7"/>
      <c r="L6" s="13"/>
      <c r="M6" s="28"/>
      <c r="N6" s="17" t="s">
        <v>17</v>
      </c>
      <c r="O6" s="17">
        <v>51</v>
      </c>
      <c r="P6" s="16">
        <f t="shared" si="3"/>
        <v>1</v>
      </c>
      <c r="Q6" s="16">
        <v>7</v>
      </c>
      <c r="R6" s="16">
        <v>3</v>
      </c>
      <c r="S6" s="16" t="str">
        <f t="shared" si="4"/>
        <v/>
      </c>
      <c r="T6" s="17">
        <v>80</v>
      </c>
      <c r="U6" s="17" t="s">
        <v>5</v>
      </c>
      <c r="X6" t="s">
        <v>14</v>
      </c>
      <c r="Y6" s="1">
        <v>6</v>
      </c>
      <c r="Z6">
        <f t="shared" si="0"/>
        <v>0</v>
      </c>
      <c r="AA6">
        <f t="shared" si="5"/>
        <v>0</v>
      </c>
    </row>
    <row r="7" spans="1:27" ht="22" x14ac:dyDescent="0.2">
      <c r="A7" s="7"/>
      <c r="B7" s="28"/>
      <c r="C7" s="17" t="s">
        <v>17</v>
      </c>
      <c r="D7" s="17">
        <v>59</v>
      </c>
      <c r="E7" s="16" t="str">
        <f t="shared" si="1"/>
        <v/>
      </c>
      <c r="F7" s="16">
        <v>3</v>
      </c>
      <c r="G7" s="16">
        <v>7</v>
      </c>
      <c r="H7" s="16">
        <f t="shared" si="2"/>
        <v>1</v>
      </c>
      <c r="I7" s="17">
        <v>74</v>
      </c>
      <c r="J7" s="17" t="s">
        <v>5</v>
      </c>
      <c r="K7" s="7"/>
      <c r="L7" s="13"/>
      <c r="M7" s="28"/>
      <c r="N7" s="17" t="s">
        <v>14</v>
      </c>
      <c r="O7" s="17">
        <v>11</v>
      </c>
      <c r="P7" s="16" t="str">
        <f t="shared" si="3"/>
        <v/>
      </c>
      <c r="Q7" s="16">
        <v>5</v>
      </c>
      <c r="R7" s="16">
        <v>5</v>
      </c>
      <c r="S7" s="16" t="str">
        <f t="shared" si="4"/>
        <v/>
      </c>
      <c r="T7" s="17">
        <v>35</v>
      </c>
      <c r="U7" s="17" t="s">
        <v>20</v>
      </c>
      <c r="X7" t="s">
        <v>14</v>
      </c>
      <c r="Y7" s="1">
        <v>8</v>
      </c>
      <c r="Z7">
        <f>SUMIF(D$4:D$88,Y7,F$4:F$88)+SUMIF(I$4:I$88,Y7,G$4:G$88)+SUMIF(O$4:O$88,Y7,Q$4:Q$88)+SUMIF(T$4:T$88,Y7,R$4:R$88)</f>
        <v>3</v>
      </c>
      <c r="AA7">
        <f t="shared" si="5"/>
        <v>0</v>
      </c>
    </row>
    <row r="8" spans="1:27" ht="24" thickBot="1" x14ac:dyDescent="0.25">
      <c r="A8" s="7"/>
      <c r="B8" s="29"/>
      <c r="C8" s="21" t="s">
        <v>14</v>
      </c>
      <c r="D8" s="22">
        <v>8</v>
      </c>
      <c r="E8" s="25" t="str">
        <f t="shared" si="1"/>
        <v/>
      </c>
      <c r="F8" s="20">
        <v>3</v>
      </c>
      <c r="G8" s="20">
        <v>7</v>
      </c>
      <c r="H8" s="20">
        <f t="shared" si="2"/>
        <v>1</v>
      </c>
      <c r="I8" s="21">
        <v>62</v>
      </c>
      <c r="J8" s="21" t="s">
        <v>4</v>
      </c>
      <c r="K8" s="7"/>
      <c r="L8" s="13"/>
      <c r="M8" s="29"/>
      <c r="N8" s="21" t="s">
        <v>15</v>
      </c>
      <c r="O8" s="21">
        <v>23</v>
      </c>
      <c r="P8" s="25" t="str">
        <f t="shared" si="3"/>
        <v/>
      </c>
      <c r="Q8" s="20">
        <v>4</v>
      </c>
      <c r="R8" s="20">
        <v>6</v>
      </c>
      <c r="S8" s="20">
        <f t="shared" si="4"/>
        <v>1</v>
      </c>
      <c r="T8" s="21">
        <v>71</v>
      </c>
      <c r="U8" s="21" t="s">
        <v>4</v>
      </c>
      <c r="X8" t="s">
        <v>14</v>
      </c>
      <c r="Y8" s="1">
        <v>10</v>
      </c>
      <c r="Z8">
        <f>SUMIF(D$4:D$88,Y8,F$4:F$88)+SUMIF(I$4:I$88,Y8,G$4:G$88)+SUMIF(O$4:O$88,Y8,Q$4:Q$88)+SUMIF(T$4:T$88,Y8,R$4:R$88)</f>
        <v>3</v>
      </c>
      <c r="AA8">
        <f t="shared" si="5"/>
        <v>0</v>
      </c>
    </row>
    <row r="9" spans="1:27" ht="22" x14ac:dyDescent="0.2">
      <c r="A9" s="7"/>
      <c r="B9" s="30" t="s">
        <v>110</v>
      </c>
      <c r="C9" s="19" t="s">
        <v>15</v>
      </c>
      <c r="D9" s="19">
        <v>22</v>
      </c>
      <c r="E9" s="15">
        <f t="shared" si="1"/>
        <v>1</v>
      </c>
      <c r="F9" s="15">
        <v>6</v>
      </c>
      <c r="G9" s="15">
        <v>4</v>
      </c>
      <c r="H9" s="15" t="str">
        <f t="shared" si="2"/>
        <v/>
      </c>
      <c r="I9" s="19">
        <v>92</v>
      </c>
      <c r="J9" s="19" t="s">
        <v>13</v>
      </c>
      <c r="K9" s="7"/>
      <c r="L9" s="13"/>
      <c r="M9" s="30" t="s">
        <v>110</v>
      </c>
      <c r="N9" s="19" t="s">
        <v>14</v>
      </c>
      <c r="O9" s="19">
        <v>1</v>
      </c>
      <c r="P9" s="15" t="str">
        <f>IF(Q9 &gt; R9, 1, "")</f>
        <v/>
      </c>
      <c r="Q9" s="15">
        <v>5</v>
      </c>
      <c r="R9" s="15">
        <v>5</v>
      </c>
      <c r="S9" s="15" t="str">
        <f t="shared" si="4"/>
        <v/>
      </c>
      <c r="T9" s="19">
        <v>29</v>
      </c>
      <c r="U9" s="19" t="s">
        <v>20</v>
      </c>
      <c r="X9" t="s">
        <v>14</v>
      </c>
      <c r="Y9" s="1">
        <v>11</v>
      </c>
      <c r="Z9">
        <f t="shared" si="0"/>
        <v>5</v>
      </c>
      <c r="AA9">
        <f t="shared" si="5"/>
        <v>0</v>
      </c>
    </row>
    <row r="10" spans="1:27" ht="22" x14ac:dyDescent="0.2">
      <c r="A10" s="7"/>
      <c r="B10" s="31"/>
      <c r="C10" s="17" t="s">
        <v>17</v>
      </c>
      <c r="D10" s="17">
        <v>53</v>
      </c>
      <c r="E10" s="16" t="str">
        <f t="shared" si="1"/>
        <v/>
      </c>
      <c r="F10" s="16">
        <v>3</v>
      </c>
      <c r="G10" s="16">
        <v>7</v>
      </c>
      <c r="H10" s="16">
        <f t="shared" si="2"/>
        <v>1</v>
      </c>
      <c r="I10" s="17">
        <v>77</v>
      </c>
      <c r="J10" s="17" t="s">
        <v>5</v>
      </c>
      <c r="K10" s="7"/>
      <c r="L10" s="13"/>
      <c r="M10" s="31"/>
      <c r="N10" s="17" t="s">
        <v>15</v>
      </c>
      <c r="O10" s="17">
        <v>17</v>
      </c>
      <c r="P10" s="16" t="str">
        <f t="shared" si="3"/>
        <v/>
      </c>
      <c r="Q10" s="16">
        <v>3</v>
      </c>
      <c r="R10" s="16">
        <v>7</v>
      </c>
      <c r="S10" s="16">
        <f t="shared" si="4"/>
        <v>1</v>
      </c>
      <c r="T10" s="17">
        <v>86</v>
      </c>
      <c r="U10" s="17" t="s">
        <v>13</v>
      </c>
      <c r="X10" t="s">
        <v>15</v>
      </c>
      <c r="Y10" s="1">
        <v>20</v>
      </c>
      <c r="Z10">
        <f t="shared" si="0"/>
        <v>7</v>
      </c>
      <c r="AA10">
        <f t="shared" si="5"/>
        <v>1</v>
      </c>
    </row>
    <row r="11" spans="1:27" ht="22" x14ac:dyDescent="0.2">
      <c r="A11" s="7"/>
      <c r="B11" s="31"/>
      <c r="C11" s="17" t="s">
        <v>14</v>
      </c>
      <c r="D11" s="17">
        <v>3</v>
      </c>
      <c r="E11" s="16" t="str">
        <f t="shared" si="1"/>
        <v/>
      </c>
      <c r="F11" s="16">
        <v>4</v>
      </c>
      <c r="G11" s="16">
        <v>6</v>
      </c>
      <c r="H11" s="16">
        <f t="shared" si="2"/>
        <v>1</v>
      </c>
      <c r="I11" s="17">
        <v>31</v>
      </c>
      <c r="J11" s="17" t="s">
        <v>20</v>
      </c>
      <c r="K11" s="7"/>
      <c r="L11" s="13"/>
      <c r="M11" s="31"/>
      <c r="N11" s="17" t="s">
        <v>20</v>
      </c>
      <c r="O11" s="17">
        <v>26</v>
      </c>
      <c r="P11" s="16" t="str">
        <f t="shared" si="3"/>
        <v/>
      </c>
      <c r="Q11" s="16">
        <v>2</v>
      </c>
      <c r="R11" s="16">
        <v>8</v>
      </c>
      <c r="S11" s="16">
        <f t="shared" si="4"/>
        <v>1</v>
      </c>
      <c r="T11" s="17">
        <v>83</v>
      </c>
      <c r="U11" s="17" t="s">
        <v>13</v>
      </c>
      <c r="X11" t="s">
        <v>15</v>
      </c>
      <c r="Y11" s="1">
        <v>15</v>
      </c>
      <c r="Z11">
        <f t="shared" si="0"/>
        <v>2</v>
      </c>
      <c r="AA11">
        <f t="shared" si="5"/>
        <v>0</v>
      </c>
    </row>
    <row r="12" spans="1:27" ht="22" x14ac:dyDescent="0.2">
      <c r="A12" s="7"/>
      <c r="B12" s="31"/>
      <c r="C12" s="17" t="s">
        <v>15</v>
      </c>
      <c r="D12" s="17">
        <v>20</v>
      </c>
      <c r="E12" s="16">
        <f t="shared" si="1"/>
        <v>1</v>
      </c>
      <c r="F12" s="16">
        <v>7</v>
      </c>
      <c r="G12" s="16">
        <v>3</v>
      </c>
      <c r="H12" s="16" t="str">
        <f t="shared" si="2"/>
        <v/>
      </c>
      <c r="I12" s="17">
        <v>69</v>
      </c>
      <c r="J12" s="17" t="s">
        <v>4</v>
      </c>
      <c r="K12" s="7"/>
      <c r="L12" s="13"/>
      <c r="M12" s="31"/>
      <c r="N12" s="17" t="s">
        <v>13</v>
      </c>
      <c r="O12" s="17">
        <v>94</v>
      </c>
      <c r="P12" s="16">
        <f t="shared" si="3"/>
        <v>1</v>
      </c>
      <c r="Q12" s="16">
        <v>7</v>
      </c>
      <c r="R12" s="16">
        <v>3</v>
      </c>
      <c r="S12" s="16" t="str">
        <f t="shared" si="4"/>
        <v/>
      </c>
      <c r="T12" s="17">
        <v>66</v>
      </c>
      <c r="U12" s="17" t="s">
        <v>4</v>
      </c>
      <c r="X12" t="s">
        <v>15</v>
      </c>
      <c r="Y12" s="1">
        <v>17</v>
      </c>
      <c r="Z12">
        <f t="shared" si="0"/>
        <v>3</v>
      </c>
      <c r="AA12">
        <f t="shared" si="5"/>
        <v>0</v>
      </c>
    </row>
    <row r="13" spans="1:27" ht="22" x14ac:dyDescent="0.2">
      <c r="A13" s="7"/>
      <c r="B13" s="31"/>
      <c r="C13" s="17" t="s">
        <v>17</v>
      </c>
      <c r="D13" s="17">
        <v>55</v>
      </c>
      <c r="E13" s="16" t="str">
        <f t="shared" si="1"/>
        <v/>
      </c>
      <c r="F13" s="16">
        <v>2</v>
      </c>
      <c r="G13" s="16">
        <v>8</v>
      </c>
      <c r="H13" s="16">
        <f t="shared" si="2"/>
        <v>1</v>
      </c>
      <c r="I13" s="17">
        <v>75</v>
      </c>
      <c r="J13" s="17" t="s">
        <v>5</v>
      </c>
      <c r="K13" s="7"/>
      <c r="L13" s="13"/>
      <c r="M13" s="31"/>
      <c r="N13" s="17" t="s">
        <v>4</v>
      </c>
      <c r="O13" s="17">
        <v>68</v>
      </c>
      <c r="P13" s="16" t="str">
        <f t="shared" si="3"/>
        <v/>
      </c>
      <c r="Q13" s="16">
        <v>2</v>
      </c>
      <c r="R13" s="16">
        <v>8</v>
      </c>
      <c r="S13" s="16">
        <f t="shared" si="4"/>
        <v>1</v>
      </c>
      <c r="T13" s="17">
        <v>36</v>
      </c>
      <c r="U13" s="17" t="s">
        <v>20</v>
      </c>
      <c r="X13" t="s">
        <v>15</v>
      </c>
      <c r="Y13" s="1">
        <v>18</v>
      </c>
      <c r="Z13">
        <f t="shared" si="0"/>
        <v>3</v>
      </c>
      <c r="AA13">
        <f t="shared" si="5"/>
        <v>0</v>
      </c>
    </row>
    <row r="14" spans="1:27" x14ac:dyDescent="0.2">
      <c r="A14" s="6"/>
      <c r="B14" s="6"/>
      <c r="C14" s="6"/>
      <c r="D14" s="5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X14" t="s">
        <v>15</v>
      </c>
      <c r="Y14" s="1">
        <v>22</v>
      </c>
      <c r="Z14">
        <f t="shared" si="0"/>
        <v>6</v>
      </c>
      <c r="AA14">
        <f t="shared" si="5"/>
        <v>1</v>
      </c>
    </row>
    <row r="15" spans="1:27" x14ac:dyDescent="0.2">
      <c r="A15" s="6"/>
      <c r="B15" s="6"/>
      <c r="C15" s="6"/>
      <c r="D15" s="5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X15" t="s">
        <v>15</v>
      </c>
      <c r="Y15" s="1">
        <v>23</v>
      </c>
      <c r="Z15">
        <f t="shared" si="0"/>
        <v>4</v>
      </c>
      <c r="AA15">
        <f t="shared" si="5"/>
        <v>0</v>
      </c>
    </row>
    <row r="16" spans="1:27" ht="27" x14ac:dyDescent="0.35">
      <c r="A16" s="6"/>
      <c r="B16" s="26" t="s">
        <v>36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5"/>
      <c r="X16" t="s">
        <v>20</v>
      </c>
      <c r="Y16" s="1">
        <v>26</v>
      </c>
      <c r="Z16">
        <f t="shared" si="0"/>
        <v>2</v>
      </c>
      <c r="AA16">
        <f t="shared" si="5"/>
        <v>0</v>
      </c>
    </row>
    <row r="17" spans="1:27" ht="22" x14ac:dyDescent="0.2">
      <c r="A17" s="7"/>
      <c r="B17" s="27" t="s">
        <v>29</v>
      </c>
      <c r="C17" s="27"/>
      <c r="D17" s="27"/>
      <c r="E17" s="27"/>
      <c r="F17" s="27"/>
      <c r="G17" s="27"/>
      <c r="H17" s="27"/>
      <c r="I17" s="27"/>
      <c r="J17" s="27"/>
      <c r="K17" s="8"/>
      <c r="L17" s="9"/>
      <c r="M17" s="27" t="s">
        <v>30</v>
      </c>
      <c r="N17" s="27"/>
      <c r="O17" s="27"/>
      <c r="P17" s="27"/>
      <c r="Q17" s="27"/>
      <c r="R17" s="27"/>
      <c r="S17" s="27"/>
      <c r="T17" s="27"/>
      <c r="U17" s="27"/>
      <c r="V17" s="10"/>
      <c r="X17" t="s">
        <v>20</v>
      </c>
      <c r="Y17" s="1">
        <v>29</v>
      </c>
      <c r="Z17">
        <f t="shared" si="0"/>
        <v>5</v>
      </c>
      <c r="AA17">
        <f t="shared" si="5"/>
        <v>0</v>
      </c>
    </row>
    <row r="18" spans="1:27" x14ac:dyDescent="0.2">
      <c r="A18" s="6"/>
      <c r="B18" s="11" t="s">
        <v>31</v>
      </c>
      <c r="C18" s="11" t="s">
        <v>2</v>
      </c>
      <c r="D18" s="11" t="s">
        <v>32</v>
      </c>
      <c r="E18" s="11" t="s">
        <v>121</v>
      </c>
      <c r="F18" s="11" t="s">
        <v>33</v>
      </c>
      <c r="G18" s="11" t="s">
        <v>34</v>
      </c>
      <c r="H18" s="11" t="s">
        <v>122</v>
      </c>
      <c r="I18" s="11" t="s">
        <v>35</v>
      </c>
      <c r="J18" s="11" t="s">
        <v>2</v>
      </c>
      <c r="K18" s="7"/>
      <c r="L18" s="7"/>
      <c r="M18" s="11" t="s">
        <v>31</v>
      </c>
      <c r="N18" s="11" t="s">
        <v>2</v>
      </c>
      <c r="O18" s="11" t="s">
        <v>32</v>
      </c>
      <c r="P18" s="11" t="s">
        <v>121</v>
      </c>
      <c r="Q18" s="11" t="s">
        <v>33</v>
      </c>
      <c r="R18" s="11" t="s">
        <v>34</v>
      </c>
      <c r="S18" s="11" t="s">
        <v>122</v>
      </c>
      <c r="T18" s="11" t="s">
        <v>35</v>
      </c>
      <c r="U18" s="11" t="s">
        <v>2</v>
      </c>
      <c r="V18" s="5"/>
      <c r="X18" t="s">
        <v>20</v>
      </c>
      <c r="Y18" s="1">
        <v>31</v>
      </c>
      <c r="Z18">
        <f t="shared" si="0"/>
        <v>6</v>
      </c>
      <c r="AA18">
        <f t="shared" si="5"/>
        <v>1</v>
      </c>
    </row>
    <row r="19" spans="1:27" ht="22" x14ac:dyDescent="0.2">
      <c r="A19" s="7"/>
      <c r="B19" s="28" t="s">
        <v>111</v>
      </c>
      <c r="C19" s="17" t="s">
        <v>17</v>
      </c>
      <c r="D19" s="17">
        <v>59</v>
      </c>
      <c r="E19" s="16" t="str">
        <f>IF(F19 &gt; G19, 1, "")</f>
        <v/>
      </c>
      <c r="F19" s="16"/>
      <c r="G19" s="16"/>
      <c r="H19" s="16" t="str">
        <f>IF(G19 &gt; F19, 1, "")</f>
        <v/>
      </c>
      <c r="I19" s="17">
        <v>8</v>
      </c>
      <c r="J19" s="17" t="s">
        <v>14</v>
      </c>
      <c r="K19" s="7"/>
      <c r="L19" s="13"/>
      <c r="M19" s="28" t="s">
        <v>111</v>
      </c>
      <c r="N19" s="17" t="s">
        <v>13</v>
      </c>
      <c r="O19" s="17">
        <v>83</v>
      </c>
      <c r="P19" s="16" t="str">
        <f>IF(Q19 &gt; R19, 1, "")</f>
        <v/>
      </c>
      <c r="Q19" s="16"/>
      <c r="R19" s="16"/>
      <c r="S19" s="16" t="str">
        <f>IF(R19 &gt; Q19, 1, "")</f>
        <v/>
      </c>
      <c r="T19" s="18">
        <v>23</v>
      </c>
      <c r="U19" s="17" t="s">
        <v>15</v>
      </c>
      <c r="X19" t="s">
        <v>20</v>
      </c>
      <c r="Y19" s="1">
        <v>32</v>
      </c>
      <c r="Z19">
        <f t="shared" si="0"/>
        <v>10</v>
      </c>
      <c r="AA19">
        <f t="shared" si="5"/>
        <v>1</v>
      </c>
    </row>
    <row r="20" spans="1:27" ht="22" x14ac:dyDescent="0.2">
      <c r="A20" s="7"/>
      <c r="B20" s="28"/>
      <c r="C20" s="17" t="s">
        <v>5</v>
      </c>
      <c r="D20" s="17">
        <v>75</v>
      </c>
      <c r="E20" s="16" t="str">
        <f>IF(F20 &gt; G20, 1, "")</f>
        <v/>
      </c>
      <c r="F20" s="16"/>
      <c r="G20" s="16"/>
      <c r="H20" s="16" t="str">
        <f t="shared" ref="H20:H28" si="6">IF(G20 &gt; F20, 1, "")</f>
        <v/>
      </c>
      <c r="I20" s="17">
        <v>29</v>
      </c>
      <c r="J20" s="17" t="s">
        <v>20</v>
      </c>
      <c r="K20" s="7"/>
      <c r="L20" s="13"/>
      <c r="M20" s="28"/>
      <c r="N20" s="17" t="s">
        <v>17</v>
      </c>
      <c r="O20" s="17">
        <v>55</v>
      </c>
      <c r="P20" s="16" t="str">
        <f t="shared" ref="P20:P28" si="7">IF(Q20 &gt; R20, 1, "")</f>
        <v/>
      </c>
      <c r="Q20" s="16"/>
      <c r="R20" s="16"/>
      <c r="S20" s="16" t="str">
        <f t="shared" ref="S20:S28" si="8">IF(R20 &gt; Q20, 1, "")</f>
        <v/>
      </c>
      <c r="T20" s="17">
        <v>6</v>
      </c>
      <c r="U20" s="17" t="s">
        <v>14</v>
      </c>
      <c r="X20" t="s">
        <v>20</v>
      </c>
      <c r="Y20" s="1">
        <v>35</v>
      </c>
      <c r="Z20">
        <f t="shared" si="0"/>
        <v>5</v>
      </c>
      <c r="AA20">
        <f t="shared" si="5"/>
        <v>0</v>
      </c>
    </row>
    <row r="21" spans="1:27" ht="22" customHeight="1" x14ac:dyDescent="0.2">
      <c r="A21" s="7"/>
      <c r="B21" s="28"/>
      <c r="C21" s="17" t="s">
        <v>15</v>
      </c>
      <c r="D21" s="18">
        <v>22</v>
      </c>
      <c r="E21" s="16" t="str">
        <f t="shared" ref="E21:E28" si="9">IF(F21 &gt; G21, 1, "")</f>
        <v/>
      </c>
      <c r="F21" s="16"/>
      <c r="G21" s="16"/>
      <c r="H21" s="16" t="str">
        <f t="shared" si="6"/>
        <v/>
      </c>
      <c r="I21" s="17">
        <v>68</v>
      </c>
      <c r="J21" s="17" t="s">
        <v>4</v>
      </c>
      <c r="K21" s="7"/>
      <c r="L21" s="13"/>
      <c r="M21" s="28"/>
      <c r="N21" s="17" t="s">
        <v>5</v>
      </c>
      <c r="O21" s="17">
        <v>74</v>
      </c>
      <c r="P21" s="16" t="str">
        <f t="shared" si="7"/>
        <v/>
      </c>
      <c r="Q21" s="16"/>
      <c r="R21" s="16"/>
      <c r="S21" s="16" t="str">
        <f>IF(R21 &gt; Q21, 1, "")</f>
        <v/>
      </c>
      <c r="T21" s="17">
        <v>26</v>
      </c>
      <c r="U21" s="17" t="s">
        <v>20</v>
      </c>
      <c r="X21" t="s">
        <v>20</v>
      </c>
      <c r="Y21" s="1">
        <v>36</v>
      </c>
      <c r="Z21">
        <f t="shared" si="0"/>
        <v>8</v>
      </c>
      <c r="AA21">
        <f t="shared" si="5"/>
        <v>1</v>
      </c>
    </row>
    <row r="22" spans="1:27" ht="22" x14ac:dyDescent="0.2">
      <c r="A22" s="7"/>
      <c r="B22" s="28"/>
      <c r="C22" s="17" t="s">
        <v>13</v>
      </c>
      <c r="D22" s="17">
        <v>93</v>
      </c>
      <c r="E22" s="16" t="str">
        <f t="shared" si="9"/>
        <v/>
      </c>
      <c r="F22" s="16"/>
      <c r="G22" s="16"/>
      <c r="H22" s="16" t="str">
        <f t="shared" si="6"/>
        <v/>
      </c>
      <c r="I22" s="17">
        <v>3</v>
      </c>
      <c r="J22" s="17" t="s">
        <v>14</v>
      </c>
      <c r="K22" s="7"/>
      <c r="L22" s="13"/>
      <c r="M22" s="28"/>
      <c r="N22" s="17" t="s">
        <v>15</v>
      </c>
      <c r="O22" s="17">
        <v>17</v>
      </c>
      <c r="P22" s="16" t="str">
        <f>IF(Q22 &gt; R22, 1, "")</f>
        <v/>
      </c>
      <c r="Q22" s="16"/>
      <c r="R22" s="16"/>
      <c r="S22" s="16" t="str">
        <f t="shared" si="8"/>
        <v/>
      </c>
      <c r="T22" s="17">
        <v>62</v>
      </c>
      <c r="U22" s="17" t="s">
        <v>4</v>
      </c>
      <c r="X22" t="s">
        <v>17</v>
      </c>
      <c r="Y22" s="1">
        <v>51</v>
      </c>
      <c r="Z22">
        <f t="shared" si="0"/>
        <v>7</v>
      </c>
      <c r="AA22">
        <f t="shared" si="5"/>
        <v>1</v>
      </c>
    </row>
    <row r="23" spans="1:27" ht="24" thickBot="1" x14ac:dyDescent="0.25">
      <c r="A23" s="7"/>
      <c r="B23" s="29"/>
      <c r="C23" s="21" t="s">
        <v>17</v>
      </c>
      <c r="D23" s="21">
        <v>57</v>
      </c>
      <c r="E23" s="25" t="str">
        <f t="shared" si="9"/>
        <v/>
      </c>
      <c r="F23" s="20"/>
      <c r="G23" s="20"/>
      <c r="H23" s="20" t="str">
        <f t="shared" si="6"/>
        <v/>
      </c>
      <c r="I23" s="21">
        <v>1</v>
      </c>
      <c r="J23" s="21" t="s">
        <v>14</v>
      </c>
      <c r="K23" s="7"/>
      <c r="L23" s="13"/>
      <c r="M23" s="29"/>
      <c r="N23" s="21" t="s">
        <v>13</v>
      </c>
      <c r="O23" s="21">
        <v>84</v>
      </c>
      <c r="P23" s="25" t="str">
        <f t="shared" si="7"/>
        <v/>
      </c>
      <c r="Q23" s="20"/>
      <c r="R23" s="20"/>
      <c r="S23" s="20" t="str">
        <f t="shared" si="8"/>
        <v/>
      </c>
      <c r="T23" s="21">
        <v>69</v>
      </c>
      <c r="U23" s="21" t="s">
        <v>4</v>
      </c>
      <c r="X23" t="s">
        <v>17</v>
      </c>
      <c r="Y23" s="1">
        <v>53</v>
      </c>
      <c r="Z23">
        <f t="shared" si="0"/>
        <v>3</v>
      </c>
      <c r="AA23">
        <f t="shared" si="5"/>
        <v>0</v>
      </c>
    </row>
    <row r="24" spans="1:27" ht="22" x14ac:dyDescent="0.2">
      <c r="A24" s="7"/>
      <c r="B24" s="30" t="s">
        <v>112</v>
      </c>
      <c r="C24" s="19" t="s">
        <v>5</v>
      </c>
      <c r="D24" s="19">
        <v>82</v>
      </c>
      <c r="E24" s="15" t="str">
        <f t="shared" si="9"/>
        <v/>
      </c>
      <c r="F24" s="15"/>
      <c r="G24" s="15"/>
      <c r="H24" s="15" t="str">
        <f t="shared" si="6"/>
        <v/>
      </c>
      <c r="I24" s="19">
        <v>32</v>
      </c>
      <c r="J24" s="19" t="s">
        <v>20</v>
      </c>
      <c r="K24" s="7"/>
      <c r="L24" s="13"/>
      <c r="M24" s="30" t="s">
        <v>112</v>
      </c>
      <c r="N24" s="19" t="s">
        <v>17</v>
      </c>
      <c r="O24" s="19">
        <v>51</v>
      </c>
      <c r="P24" s="15" t="str">
        <f>IF(Q24 &gt; R24, 1, "")</f>
        <v/>
      </c>
      <c r="Q24" s="15"/>
      <c r="R24" s="15"/>
      <c r="S24" s="15" t="str">
        <f t="shared" si="8"/>
        <v/>
      </c>
      <c r="T24" s="19">
        <v>11</v>
      </c>
      <c r="U24" s="19" t="s">
        <v>14</v>
      </c>
      <c r="X24" t="s">
        <v>17</v>
      </c>
      <c r="Y24" s="1">
        <v>55</v>
      </c>
      <c r="Z24">
        <f t="shared" si="0"/>
        <v>2</v>
      </c>
      <c r="AA24">
        <f t="shared" si="5"/>
        <v>0</v>
      </c>
    </row>
    <row r="25" spans="1:27" ht="22" x14ac:dyDescent="0.2">
      <c r="A25" s="7"/>
      <c r="B25" s="31"/>
      <c r="C25" s="17" t="s">
        <v>15</v>
      </c>
      <c r="D25" s="17">
        <v>18</v>
      </c>
      <c r="E25" s="16" t="str">
        <f t="shared" si="9"/>
        <v/>
      </c>
      <c r="F25" s="16"/>
      <c r="G25" s="16"/>
      <c r="H25" s="16" t="str">
        <f t="shared" si="6"/>
        <v/>
      </c>
      <c r="I25" s="17">
        <v>63</v>
      </c>
      <c r="J25" s="17" t="s">
        <v>4</v>
      </c>
      <c r="K25" s="7"/>
      <c r="L25" s="13"/>
      <c r="M25" s="31"/>
      <c r="N25" s="17" t="s">
        <v>5</v>
      </c>
      <c r="O25" s="17">
        <v>80</v>
      </c>
      <c r="P25" s="16" t="str">
        <f t="shared" si="7"/>
        <v/>
      </c>
      <c r="Q25" s="16"/>
      <c r="R25" s="16"/>
      <c r="S25" s="16" t="str">
        <f t="shared" si="8"/>
        <v/>
      </c>
      <c r="T25" s="17">
        <v>31</v>
      </c>
      <c r="U25" s="17" t="s">
        <v>20</v>
      </c>
      <c r="X25" t="s">
        <v>17</v>
      </c>
      <c r="Y25" s="1">
        <v>57</v>
      </c>
      <c r="Z25">
        <f t="shared" si="0"/>
        <v>6</v>
      </c>
      <c r="AA25">
        <f t="shared" si="5"/>
        <v>1</v>
      </c>
    </row>
    <row r="26" spans="1:27" ht="22" x14ac:dyDescent="0.2">
      <c r="A26" s="7"/>
      <c r="B26" s="31"/>
      <c r="C26" s="17" t="s">
        <v>13</v>
      </c>
      <c r="D26" s="17">
        <v>86</v>
      </c>
      <c r="E26" s="16" t="str">
        <f t="shared" si="9"/>
        <v/>
      </c>
      <c r="F26" s="16"/>
      <c r="G26" s="16"/>
      <c r="H26" s="16" t="str">
        <f>IF(G26 &gt; F26, 1, "")</f>
        <v/>
      </c>
      <c r="I26" s="17">
        <v>36</v>
      </c>
      <c r="J26" s="17" t="s">
        <v>20</v>
      </c>
      <c r="K26" s="7"/>
      <c r="L26" s="13"/>
      <c r="M26" s="31"/>
      <c r="N26" s="17" t="s">
        <v>15</v>
      </c>
      <c r="O26" s="17">
        <v>15</v>
      </c>
      <c r="P26" s="16" t="str">
        <f t="shared" si="7"/>
        <v/>
      </c>
      <c r="Q26" s="16"/>
      <c r="R26" s="16"/>
      <c r="S26" s="16" t="str">
        <f t="shared" si="8"/>
        <v/>
      </c>
      <c r="T26" s="17">
        <v>66</v>
      </c>
      <c r="U26" s="17" t="s">
        <v>4</v>
      </c>
      <c r="X26" t="s">
        <v>17</v>
      </c>
      <c r="Y26" s="1">
        <v>59</v>
      </c>
      <c r="Z26">
        <f t="shared" si="0"/>
        <v>3</v>
      </c>
      <c r="AA26">
        <f t="shared" si="5"/>
        <v>0</v>
      </c>
    </row>
    <row r="27" spans="1:27" ht="22" x14ac:dyDescent="0.2">
      <c r="A27" s="7"/>
      <c r="B27" s="31"/>
      <c r="C27" s="17" t="s">
        <v>17</v>
      </c>
      <c r="D27" s="17">
        <v>53</v>
      </c>
      <c r="E27" s="16" t="str">
        <f t="shared" si="9"/>
        <v/>
      </c>
      <c r="F27" s="16"/>
      <c r="G27" s="16"/>
      <c r="H27" s="16" t="str">
        <f t="shared" si="6"/>
        <v/>
      </c>
      <c r="I27" s="17">
        <v>10</v>
      </c>
      <c r="J27" s="17" t="s">
        <v>14</v>
      </c>
      <c r="K27" s="7"/>
      <c r="L27" s="13"/>
      <c r="M27" s="31"/>
      <c r="N27" s="17" t="s">
        <v>15</v>
      </c>
      <c r="O27" s="17">
        <v>20</v>
      </c>
      <c r="P27" s="16" t="str">
        <f t="shared" si="7"/>
        <v/>
      </c>
      <c r="Q27" s="16"/>
      <c r="R27" s="16"/>
      <c r="S27" s="16" t="str">
        <f t="shared" si="8"/>
        <v/>
      </c>
      <c r="T27" s="17">
        <v>94</v>
      </c>
      <c r="U27" s="17" t="s">
        <v>13</v>
      </c>
      <c r="X27" t="s">
        <v>4</v>
      </c>
      <c r="Y27" s="1">
        <v>62</v>
      </c>
      <c r="Z27">
        <f t="shared" si="0"/>
        <v>7</v>
      </c>
      <c r="AA27">
        <f t="shared" si="5"/>
        <v>1</v>
      </c>
    </row>
    <row r="28" spans="1:27" ht="22" x14ac:dyDescent="0.2">
      <c r="A28" s="7"/>
      <c r="B28" s="31"/>
      <c r="C28" s="17" t="s">
        <v>5</v>
      </c>
      <c r="D28" s="17">
        <v>77</v>
      </c>
      <c r="E28" s="16" t="str">
        <f t="shared" si="9"/>
        <v/>
      </c>
      <c r="F28" s="16"/>
      <c r="G28" s="16"/>
      <c r="H28" s="16" t="str">
        <f t="shared" si="6"/>
        <v/>
      </c>
      <c r="I28" s="17">
        <v>35</v>
      </c>
      <c r="J28" s="17" t="s">
        <v>20</v>
      </c>
      <c r="K28" s="7"/>
      <c r="L28" s="13"/>
      <c r="M28" s="31"/>
      <c r="N28" s="17" t="s">
        <v>4</v>
      </c>
      <c r="O28" s="17">
        <v>71</v>
      </c>
      <c r="P28" s="16" t="str">
        <f t="shared" si="7"/>
        <v/>
      </c>
      <c r="Q28" s="16"/>
      <c r="R28" s="16"/>
      <c r="S28" s="16" t="str">
        <f t="shared" si="8"/>
        <v/>
      </c>
      <c r="T28" s="17">
        <v>92</v>
      </c>
      <c r="U28" s="17" t="s">
        <v>13</v>
      </c>
      <c r="X28" t="s">
        <v>4</v>
      </c>
      <c r="Y28" s="1">
        <v>63</v>
      </c>
      <c r="Z28">
        <f t="shared" si="0"/>
        <v>7</v>
      </c>
      <c r="AA28">
        <f t="shared" si="5"/>
        <v>1</v>
      </c>
    </row>
    <row r="29" spans="1:27" x14ac:dyDescent="0.2">
      <c r="A29" s="6"/>
      <c r="B29" s="6"/>
      <c r="C29" s="6"/>
      <c r="D29" s="5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X29" t="s">
        <v>4</v>
      </c>
      <c r="Y29" s="1">
        <v>66</v>
      </c>
      <c r="Z29">
        <f t="shared" si="0"/>
        <v>3</v>
      </c>
      <c r="AA29">
        <f t="shared" si="5"/>
        <v>0</v>
      </c>
    </row>
    <row r="30" spans="1:27" x14ac:dyDescent="0.2">
      <c r="A30" s="6"/>
      <c r="B30" s="6"/>
      <c r="C30" s="6"/>
      <c r="D30" s="5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X30" t="s">
        <v>4</v>
      </c>
      <c r="Y30" s="1">
        <v>68</v>
      </c>
      <c r="Z30">
        <f t="shared" si="0"/>
        <v>2</v>
      </c>
      <c r="AA30">
        <f t="shared" si="5"/>
        <v>0</v>
      </c>
    </row>
    <row r="31" spans="1:27" ht="27" x14ac:dyDescent="0.35">
      <c r="A31" s="6"/>
      <c r="B31" s="26" t="s">
        <v>37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5"/>
      <c r="X31" t="s">
        <v>4</v>
      </c>
      <c r="Y31" s="1">
        <v>69</v>
      </c>
      <c r="Z31">
        <f t="shared" si="0"/>
        <v>3</v>
      </c>
      <c r="AA31">
        <f t="shared" si="5"/>
        <v>0</v>
      </c>
    </row>
    <row r="32" spans="1:27" ht="22" x14ac:dyDescent="0.2">
      <c r="A32" s="7"/>
      <c r="B32" s="27" t="s">
        <v>29</v>
      </c>
      <c r="C32" s="27"/>
      <c r="D32" s="27"/>
      <c r="E32" s="27"/>
      <c r="F32" s="27"/>
      <c r="G32" s="27"/>
      <c r="H32" s="27"/>
      <c r="I32" s="27"/>
      <c r="J32" s="27"/>
      <c r="K32" s="8"/>
      <c r="L32" s="9"/>
      <c r="M32" s="27" t="s">
        <v>30</v>
      </c>
      <c r="N32" s="27"/>
      <c r="O32" s="27"/>
      <c r="P32" s="27"/>
      <c r="Q32" s="27"/>
      <c r="R32" s="27"/>
      <c r="S32" s="27"/>
      <c r="T32" s="27"/>
      <c r="U32" s="27"/>
      <c r="V32" s="10"/>
      <c r="X32" t="s">
        <v>4</v>
      </c>
      <c r="Y32" s="1">
        <v>71</v>
      </c>
      <c r="Z32">
        <f t="shared" si="0"/>
        <v>6</v>
      </c>
      <c r="AA32">
        <f t="shared" si="5"/>
        <v>1</v>
      </c>
    </row>
    <row r="33" spans="1:27" x14ac:dyDescent="0.2">
      <c r="A33" s="6"/>
      <c r="B33" s="11" t="s">
        <v>31</v>
      </c>
      <c r="C33" s="11" t="s">
        <v>2</v>
      </c>
      <c r="D33" s="11" t="s">
        <v>32</v>
      </c>
      <c r="E33" s="11" t="s">
        <v>121</v>
      </c>
      <c r="F33" s="11" t="s">
        <v>33</v>
      </c>
      <c r="G33" s="11" t="s">
        <v>34</v>
      </c>
      <c r="H33" s="11" t="s">
        <v>122</v>
      </c>
      <c r="I33" s="11" t="s">
        <v>35</v>
      </c>
      <c r="J33" s="11" t="s">
        <v>2</v>
      </c>
      <c r="K33" s="7"/>
      <c r="L33" s="7"/>
      <c r="M33" s="11" t="s">
        <v>31</v>
      </c>
      <c r="N33" s="11" t="s">
        <v>2</v>
      </c>
      <c r="O33" s="11" t="s">
        <v>32</v>
      </c>
      <c r="P33" s="11" t="s">
        <v>121</v>
      </c>
      <c r="Q33" s="11" t="s">
        <v>33</v>
      </c>
      <c r="R33" s="11" t="s">
        <v>34</v>
      </c>
      <c r="S33" s="11" t="s">
        <v>122</v>
      </c>
      <c r="T33" s="11" t="s">
        <v>35</v>
      </c>
      <c r="U33" s="11" t="s">
        <v>2</v>
      </c>
      <c r="V33" s="5"/>
      <c r="X33" t="s">
        <v>5</v>
      </c>
      <c r="Y33" s="1">
        <v>74</v>
      </c>
      <c r="Z33">
        <f t="shared" si="0"/>
        <v>7</v>
      </c>
      <c r="AA33">
        <f t="shared" si="5"/>
        <v>1</v>
      </c>
    </row>
    <row r="34" spans="1:27" ht="22" x14ac:dyDescent="0.2">
      <c r="A34" s="7"/>
      <c r="B34" s="28" t="s">
        <v>116</v>
      </c>
      <c r="C34" s="17" t="s">
        <v>17</v>
      </c>
      <c r="D34" s="17">
        <v>59</v>
      </c>
      <c r="E34" s="16" t="str">
        <f>IF(F34 &gt; G34, 1, "")</f>
        <v/>
      </c>
      <c r="F34" s="16"/>
      <c r="G34" s="16"/>
      <c r="H34" s="16" t="str">
        <f>IF(G34 &gt; F34, 1, "")</f>
        <v/>
      </c>
      <c r="I34" s="17">
        <v>29</v>
      </c>
      <c r="J34" s="17" t="s">
        <v>20</v>
      </c>
      <c r="K34" s="7"/>
      <c r="L34" s="13"/>
      <c r="M34" s="28" t="s">
        <v>116</v>
      </c>
      <c r="N34" s="17" t="s">
        <v>14</v>
      </c>
      <c r="O34" s="17">
        <v>8</v>
      </c>
      <c r="P34" s="16" t="str">
        <f>IF(Q34 &gt; R34, 1, "")</f>
        <v/>
      </c>
      <c r="Q34" s="16"/>
      <c r="R34" s="16"/>
      <c r="S34" s="16" t="str">
        <f>IF(R34 &gt; Q34, 1, "")</f>
        <v/>
      </c>
      <c r="T34" s="17">
        <v>92</v>
      </c>
      <c r="U34" s="17" t="s">
        <v>13</v>
      </c>
      <c r="X34" t="s">
        <v>5</v>
      </c>
      <c r="Y34" s="1">
        <v>75</v>
      </c>
      <c r="Z34">
        <f t="shared" si="0"/>
        <v>8</v>
      </c>
      <c r="AA34">
        <f t="shared" si="5"/>
        <v>1</v>
      </c>
    </row>
    <row r="35" spans="1:27" ht="22" x14ac:dyDescent="0.2">
      <c r="A35" s="7"/>
      <c r="B35" s="28"/>
      <c r="C35" s="17" t="s">
        <v>5</v>
      </c>
      <c r="D35" s="17">
        <v>77</v>
      </c>
      <c r="E35" s="16" t="str">
        <f>IF(F35 &gt; G35, 1, "")</f>
        <v/>
      </c>
      <c r="F35" s="16"/>
      <c r="G35" s="16"/>
      <c r="H35" s="16" t="str">
        <f t="shared" ref="H35:H43" si="10">IF(G35 &gt; F35, 1, "")</f>
        <v/>
      </c>
      <c r="I35" s="17">
        <v>23</v>
      </c>
      <c r="J35" s="17" t="s">
        <v>15</v>
      </c>
      <c r="K35" s="7"/>
      <c r="L35" s="13"/>
      <c r="M35" s="28"/>
      <c r="N35" s="17" t="s">
        <v>4</v>
      </c>
      <c r="O35" s="17">
        <v>63</v>
      </c>
      <c r="P35" s="16" t="str">
        <f>IF(Q35 &gt; R35, 1, "")</f>
        <v/>
      </c>
      <c r="Q35" s="16"/>
      <c r="R35" s="16"/>
      <c r="S35" s="16" t="str">
        <f t="shared" ref="S35:S40" si="11">IF(R35 &gt; Q35, 1, "")</f>
        <v/>
      </c>
      <c r="T35" s="17">
        <v>17</v>
      </c>
      <c r="U35" s="17" t="s">
        <v>15</v>
      </c>
      <c r="X35" t="s">
        <v>5</v>
      </c>
      <c r="Y35" s="1">
        <v>77</v>
      </c>
      <c r="Z35">
        <f t="shared" si="0"/>
        <v>7</v>
      </c>
      <c r="AA35">
        <f t="shared" si="5"/>
        <v>1</v>
      </c>
    </row>
    <row r="36" spans="1:27" ht="22" customHeight="1" x14ac:dyDescent="0.2">
      <c r="A36" s="7"/>
      <c r="B36" s="28"/>
      <c r="C36" s="17" t="s">
        <v>14</v>
      </c>
      <c r="D36" s="18">
        <v>1</v>
      </c>
      <c r="E36" s="16" t="str">
        <f t="shared" ref="E36:E43" si="12">IF(F36 &gt; G36, 1, "")</f>
        <v/>
      </c>
      <c r="F36" s="16"/>
      <c r="G36" s="16"/>
      <c r="H36" s="16" t="str">
        <f t="shared" si="10"/>
        <v/>
      </c>
      <c r="I36" s="17">
        <v>84</v>
      </c>
      <c r="J36" s="17" t="s">
        <v>13</v>
      </c>
      <c r="K36" s="7"/>
      <c r="L36" s="13"/>
      <c r="M36" s="28"/>
      <c r="N36" s="17" t="s">
        <v>17</v>
      </c>
      <c r="O36" s="18">
        <v>53</v>
      </c>
      <c r="P36" s="16" t="str">
        <f t="shared" ref="P36:P43" si="13">IF(Q36 &gt; R36, 1, "")</f>
        <v/>
      </c>
      <c r="Q36" s="16"/>
      <c r="R36" s="16"/>
      <c r="S36" s="16" t="str">
        <f t="shared" si="11"/>
        <v/>
      </c>
      <c r="T36" s="17">
        <v>35</v>
      </c>
      <c r="U36" s="17" t="s">
        <v>20</v>
      </c>
      <c r="X36" t="s">
        <v>5</v>
      </c>
      <c r="Y36" s="1">
        <v>80</v>
      </c>
      <c r="Z36">
        <f t="shared" si="0"/>
        <v>3</v>
      </c>
      <c r="AA36">
        <f t="shared" si="5"/>
        <v>0</v>
      </c>
    </row>
    <row r="37" spans="1:27" ht="22" x14ac:dyDescent="0.2">
      <c r="A37" s="7"/>
      <c r="B37" s="28"/>
      <c r="C37" s="17" t="s">
        <v>4</v>
      </c>
      <c r="D37" s="17">
        <v>69</v>
      </c>
      <c r="E37" s="16" t="str">
        <f t="shared" si="12"/>
        <v/>
      </c>
      <c r="F37" s="16"/>
      <c r="G37" s="16"/>
      <c r="H37" s="16" t="str">
        <f t="shared" si="10"/>
        <v/>
      </c>
      <c r="I37" s="17">
        <v>11</v>
      </c>
      <c r="J37" s="17" t="s">
        <v>14</v>
      </c>
      <c r="K37" s="7"/>
      <c r="L37" s="13"/>
      <c r="M37" s="28"/>
      <c r="N37" s="17" t="s">
        <v>5</v>
      </c>
      <c r="O37" s="17">
        <v>75</v>
      </c>
      <c r="P37" s="16" t="str">
        <f>IF(Q37 &gt; R37, 1, "")</f>
        <v/>
      </c>
      <c r="Q37" s="16"/>
      <c r="R37" s="16"/>
      <c r="S37" s="16" t="str">
        <f t="shared" si="11"/>
        <v/>
      </c>
      <c r="T37" s="17">
        <v>22</v>
      </c>
      <c r="U37" s="17" t="s">
        <v>15</v>
      </c>
      <c r="X37" t="s">
        <v>5</v>
      </c>
      <c r="Y37" s="1">
        <v>82</v>
      </c>
      <c r="Z37">
        <f t="shared" si="0"/>
        <v>4</v>
      </c>
      <c r="AA37">
        <f t="shared" si="5"/>
        <v>0</v>
      </c>
    </row>
    <row r="38" spans="1:27" ht="24" thickBot="1" x14ac:dyDescent="0.25">
      <c r="A38" s="7"/>
      <c r="B38" s="29"/>
      <c r="C38" s="21" t="s">
        <v>17</v>
      </c>
      <c r="D38" s="21">
        <v>51</v>
      </c>
      <c r="E38" s="25" t="str">
        <f t="shared" si="12"/>
        <v/>
      </c>
      <c r="F38" s="20"/>
      <c r="G38" s="20"/>
      <c r="H38" s="20" t="str">
        <f t="shared" si="10"/>
        <v/>
      </c>
      <c r="I38" s="21">
        <v>36</v>
      </c>
      <c r="J38" s="21" t="s">
        <v>20</v>
      </c>
      <c r="K38" s="7"/>
      <c r="L38" s="13"/>
      <c r="M38" s="29"/>
      <c r="N38" s="21" t="s">
        <v>14</v>
      </c>
      <c r="O38" s="21">
        <v>6</v>
      </c>
      <c r="P38" s="25" t="str">
        <f t="shared" si="13"/>
        <v/>
      </c>
      <c r="Q38" s="20"/>
      <c r="R38" s="20"/>
      <c r="S38" s="20" t="str">
        <f>IF(R38 &gt; Q38, 1, "")</f>
        <v/>
      </c>
      <c r="T38" s="21">
        <v>86</v>
      </c>
      <c r="U38" s="21" t="s">
        <v>13</v>
      </c>
      <c r="X38" t="s">
        <v>13</v>
      </c>
      <c r="Y38" s="1">
        <v>83</v>
      </c>
      <c r="Z38">
        <f t="shared" si="0"/>
        <v>8</v>
      </c>
      <c r="AA38">
        <f t="shared" si="5"/>
        <v>1</v>
      </c>
    </row>
    <row r="39" spans="1:27" ht="22" x14ac:dyDescent="0.2">
      <c r="A39" s="7"/>
      <c r="B39" s="30" t="s">
        <v>117</v>
      </c>
      <c r="C39" s="19" t="s">
        <v>5</v>
      </c>
      <c r="D39" s="19">
        <v>80</v>
      </c>
      <c r="E39" s="15" t="str">
        <f t="shared" si="12"/>
        <v/>
      </c>
      <c r="F39" s="15"/>
      <c r="G39" s="15"/>
      <c r="H39" s="15" t="str">
        <f t="shared" si="10"/>
        <v/>
      </c>
      <c r="I39" s="19">
        <v>15</v>
      </c>
      <c r="J39" s="19" t="s">
        <v>15</v>
      </c>
      <c r="K39" s="7"/>
      <c r="L39" s="13"/>
      <c r="M39" s="30" t="s">
        <v>117</v>
      </c>
      <c r="N39" s="19" t="s">
        <v>4</v>
      </c>
      <c r="O39" s="23">
        <v>68</v>
      </c>
      <c r="P39" s="15" t="str">
        <f t="shared" si="13"/>
        <v/>
      </c>
      <c r="Q39" s="15"/>
      <c r="R39" s="15"/>
      <c r="S39" s="15" t="str">
        <f t="shared" si="11"/>
        <v/>
      </c>
      <c r="T39" s="19">
        <v>93</v>
      </c>
      <c r="U39" s="19" t="s">
        <v>13</v>
      </c>
      <c r="X39" t="s">
        <v>13</v>
      </c>
      <c r="Y39" s="1">
        <v>84</v>
      </c>
      <c r="Z39">
        <f t="shared" si="0"/>
        <v>8</v>
      </c>
      <c r="AA39">
        <f t="shared" si="5"/>
        <v>1</v>
      </c>
    </row>
    <row r="40" spans="1:27" ht="22" x14ac:dyDescent="0.2">
      <c r="A40" s="7"/>
      <c r="B40" s="31"/>
      <c r="C40" s="17" t="s">
        <v>14</v>
      </c>
      <c r="D40" s="17">
        <v>10</v>
      </c>
      <c r="E40" s="16" t="str">
        <f t="shared" si="12"/>
        <v/>
      </c>
      <c r="F40" s="16"/>
      <c r="G40" s="16"/>
      <c r="H40" s="16" t="str">
        <f t="shared" si="10"/>
        <v/>
      </c>
      <c r="I40" s="17">
        <v>94</v>
      </c>
      <c r="J40" s="17" t="s">
        <v>13</v>
      </c>
      <c r="K40" s="7"/>
      <c r="L40" s="13"/>
      <c r="M40" s="31"/>
      <c r="N40" s="17" t="s">
        <v>17</v>
      </c>
      <c r="O40" s="17">
        <v>57</v>
      </c>
      <c r="P40" s="16" t="str">
        <f t="shared" si="13"/>
        <v/>
      </c>
      <c r="Q40" s="16"/>
      <c r="R40" s="16"/>
      <c r="S40" s="16" t="str">
        <f t="shared" si="11"/>
        <v/>
      </c>
      <c r="T40" s="17">
        <v>31</v>
      </c>
      <c r="U40" s="17" t="s">
        <v>20</v>
      </c>
      <c r="X40" t="s">
        <v>13</v>
      </c>
      <c r="Y40" s="1">
        <v>86</v>
      </c>
      <c r="Z40">
        <f t="shared" si="0"/>
        <v>7</v>
      </c>
      <c r="AA40">
        <f t="shared" si="5"/>
        <v>1</v>
      </c>
    </row>
    <row r="41" spans="1:27" ht="22" x14ac:dyDescent="0.2">
      <c r="A41" s="7"/>
      <c r="B41" s="31"/>
      <c r="C41" s="17" t="s">
        <v>4</v>
      </c>
      <c r="D41" s="17">
        <v>71</v>
      </c>
      <c r="E41" s="16" t="str">
        <f t="shared" si="12"/>
        <v/>
      </c>
      <c r="F41" s="16"/>
      <c r="G41" s="16"/>
      <c r="H41" s="16" t="str">
        <f>IF(G41 &gt; F41, 1, "")</f>
        <v/>
      </c>
      <c r="I41" s="17">
        <v>26</v>
      </c>
      <c r="J41" s="17" t="s">
        <v>20</v>
      </c>
      <c r="K41" s="7"/>
      <c r="L41" s="13"/>
      <c r="M41" s="31"/>
      <c r="N41" s="17" t="s">
        <v>5</v>
      </c>
      <c r="O41" s="17">
        <v>82</v>
      </c>
      <c r="P41" s="16" t="str">
        <f t="shared" si="13"/>
        <v/>
      </c>
      <c r="Q41" s="16"/>
      <c r="R41" s="16"/>
      <c r="S41" s="16" t="str">
        <f>IF(R41 &gt; Q41, 1, "")</f>
        <v/>
      </c>
      <c r="T41" s="17">
        <v>18</v>
      </c>
      <c r="U41" s="17" t="s">
        <v>15</v>
      </c>
      <c r="X41" t="s">
        <v>13</v>
      </c>
      <c r="Y41" s="1">
        <v>92</v>
      </c>
      <c r="Z41">
        <f t="shared" si="0"/>
        <v>4</v>
      </c>
      <c r="AA41">
        <f t="shared" si="5"/>
        <v>0</v>
      </c>
    </row>
    <row r="42" spans="1:27" ht="22" x14ac:dyDescent="0.2">
      <c r="A42" s="7"/>
      <c r="B42" s="31"/>
      <c r="C42" s="17" t="s">
        <v>17</v>
      </c>
      <c r="D42" s="17">
        <v>55</v>
      </c>
      <c r="E42" s="16" t="str">
        <f t="shared" si="12"/>
        <v/>
      </c>
      <c r="F42" s="16"/>
      <c r="G42" s="16"/>
      <c r="H42" s="16" t="str">
        <f t="shared" si="10"/>
        <v/>
      </c>
      <c r="I42" s="17">
        <v>32</v>
      </c>
      <c r="J42" s="17" t="s">
        <v>20</v>
      </c>
      <c r="K42" s="7"/>
      <c r="L42" s="13"/>
      <c r="M42" s="31"/>
      <c r="N42" s="17" t="s">
        <v>14</v>
      </c>
      <c r="O42" s="17">
        <v>3</v>
      </c>
      <c r="P42" s="16" t="str">
        <f t="shared" si="13"/>
        <v/>
      </c>
      <c r="Q42" s="16"/>
      <c r="R42" s="16"/>
      <c r="S42" s="16" t="str">
        <f t="shared" ref="S42:S43" si="14">IF(R42 &gt; Q42, 1, "")</f>
        <v/>
      </c>
      <c r="T42" s="17">
        <v>66</v>
      </c>
      <c r="U42" s="17" t="s">
        <v>4</v>
      </c>
      <c r="X42" t="s">
        <v>13</v>
      </c>
      <c r="Y42" s="1">
        <v>93</v>
      </c>
      <c r="Z42">
        <f t="shared" si="0"/>
        <v>7</v>
      </c>
      <c r="AA42">
        <f t="shared" si="5"/>
        <v>1</v>
      </c>
    </row>
    <row r="43" spans="1:27" ht="22" x14ac:dyDescent="0.2">
      <c r="A43" s="7"/>
      <c r="B43" s="31"/>
      <c r="C43" s="17" t="s">
        <v>5</v>
      </c>
      <c r="D43" s="17">
        <v>74</v>
      </c>
      <c r="E43" s="16" t="str">
        <f t="shared" si="12"/>
        <v/>
      </c>
      <c r="F43" s="16"/>
      <c r="G43" s="16"/>
      <c r="H43" s="16" t="str">
        <f t="shared" si="10"/>
        <v/>
      </c>
      <c r="I43" s="17">
        <v>20</v>
      </c>
      <c r="J43" s="17" t="s">
        <v>15</v>
      </c>
      <c r="K43" s="7"/>
      <c r="L43" s="13"/>
      <c r="M43" s="31"/>
      <c r="N43" s="17" t="s">
        <v>13</v>
      </c>
      <c r="O43" s="17">
        <v>83</v>
      </c>
      <c r="P43" s="16" t="str">
        <f t="shared" si="13"/>
        <v/>
      </c>
      <c r="Q43" s="16"/>
      <c r="R43" s="16"/>
      <c r="S43" s="16" t="str">
        <f t="shared" si="14"/>
        <v/>
      </c>
      <c r="T43" s="17">
        <v>62</v>
      </c>
      <c r="U43" s="17" t="s">
        <v>4</v>
      </c>
      <c r="X43" t="s">
        <v>13</v>
      </c>
      <c r="Y43" s="1">
        <v>94</v>
      </c>
      <c r="Z43">
        <f t="shared" si="0"/>
        <v>7</v>
      </c>
      <c r="AA43">
        <f t="shared" si="5"/>
        <v>1</v>
      </c>
    </row>
    <row r="44" spans="1:27" x14ac:dyDescent="0.2">
      <c r="A44" s="6"/>
      <c r="B44" s="6"/>
      <c r="C44" s="6"/>
      <c r="D44" s="5"/>
      <c r="E44" s="5"/>
      <c r="F44" s="5"/>
      <c r="G44" s="5"/>
      <c r="H44" s="5"/>
      <c r="I44" s="5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7" x14ac:dyDescent="0.2">
      <c r="A45" s="6"/>
      <c r="B45" s="6"/>
      <c r="C45" s="6"/>
      <c r="D45" s="5"/>
      <c r="E45" s="5"/>
      <c r="F45" s="5"/>
      <c r="G45" s="5"/>
      <c r="H45" s="5"/>
      <c r="I45" s="5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7" ht="27" x14ac:dyDescent="0.35">
      <c r="A46" s="6"/>
      <c r="B46" s="26" t="s">
        <v>38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5"/>
    </row>
    <row r="47" spans="1:27" ht="22" x14ac:dyDescent="0.2">
      <c r="A47" s="7"/>
      <c r="B47" s="27" t="s">
        <v>29</v>
      </c>
      <c r="C47" s="27"/>
      <c r="D47" s="27"/>
      <c r="E47" s="27"/>
      <c r="F47" s="27"/>
      <c r="G47" s="27"/>
      <c r="H47" s="27"/>
      <c r="I47" s="27"/>
      <c r="J47" s="27"/>
      <c r="K47" s="8"/>
      <c r="L47" s="9"/>
      <c r="M47" s="27" t="s">
        <v>30</v>
      </c>
      <c r="N47" s="27"/>
      <c r="O47" s="27"/>
      <c r="P47" s="27"/>
      <c r="Q47" s="27"/>
      <c r="R47" s="27"/>
      <c r="S47" s="27"/>
      <c r="T47" s="27"/>
      <c r="U47" s="27"/>
      <c r="V47" s="10"/>
    </row>
    <row r="48" spans="1:27" x14ac:dyDescent="0.2">
      <c r="A48" s="6"/>
      <c r="B48" s="11" t="s">
        <v>31</v>
      </c>
      <c r="C48" s="11" t="s">
        <v>2</v>
      </c>
      <c r="D48" s="11" t="s">
        <v>32</v>
      </c>
      <c r="E48" s="11" t="s">
        <v>121</v>
      </c>
      <c r="F48" s="11" t="s">
        <v>33</v>
      </c>
      <c r="G48" s="11" t="s">
        <v>34</v>
      </c>
      <c r="H48" s="11" t="s">
        <v>122</v>
      </c>
      <c r="I48" s="11" t="s">
        <v>35</v>
      </c>
      <c r="J48" s="11" t="s">
        <v>2</v>
      </c>
      <c r="K48" s="7"/>
      <c r="L48" s="7"/>
      <c r="M48" s="11" t="s">
        <v>31</v>
      </c>
      <c r="N48" s="11" t="s">
        <v>2</v>
      </c>
      <c r="O48" s="11" t="s">
        <v>32</v>
      </c>
      <c r="P48" s="11" t="s">
        <v>121</v>
      </c>
      <c r="Q48" s="11" t="s">
        <v>33</v>
      </c>
      <c r="R48" s="11" t="s">
        <v>34</v>
      </c>
      <c r="S48" s="11" t="s">
        <v>122</v>
      </c>
      <c r="T48" s="11" t="s">
        <v>35</v>
      </c>
      <c r="U48" s="11" t="s">
        <v>2</v>
      </c>
      <c r="V48" s="5"/>
    </row>
    <row r="49" spans="1:22" ht="22" x14ac:dyDescent="0.2">
      <c r="A49" s="7"/>
      <c r="B49" s="28" t="s">
        <v>118</v>
      </c>
      <c r="C49" s="17" t="s">
        <v>17</v>
      </c>
      <c r="D49" s="17">
        <v>53</v>
      </c>
      <c r="E49" s="16" t="str">
        <f>IF(F49 &gt; G49, 1, "")</f>
        <v/>
      </c>
      <c r="F49" s="16"/>
      <c r="G49" s="16"/>
      <c r="H49" s="16" t="str">
        <f>IF(G49 &gt; F49, 1, "")</f>
        <v/>
      </c>
      <c r="I49" s="17">
        <v>20</v>
      </c>
      <c r="J49" s="17" t="s">
        <v>15</v>
      </c>
      <c r="K49" s="7"/>
      <c r="L49" s="13"/>
      <c r="M49" s="28" t="s">
        <v>118</v>
      </c>
      <c r="N49" s="17" t="s">
        <v>14</v>
      </c>
      <c r="O49" s="17">
        <v>3</v>
      </c>
      <c r="P49" s="16" t="str">
        <f>IF(Q49 &gt; R49, 1, "")</f>
        <v/>
      </c>
      <c r="Q49" s="16"/>
      <c r="R49" s="16"/>
      <c r="S49" s="16" t="str">
        <f>IF(R49 &gt; Q49, 1, "")</f>
        <v/>
      </c>
      <c r="T49" s="17">
        <v>36</v>
      </c>
      <c r="U49" s="17" t="s">
        <v>20</v>
      </c>
    </row>
    <row r="50" spans="1:22" ht="22" x14ac:dyDescent="0.2">
      <c r="A50" s="7"/>
      <c r="B50" s="28"/>
      <c r="C50" s="17" t="s">
        <v>5</v>
      </c>
      <c r="D50" s="17">
        <v>74</v>
      </c>
      <c r="E50" s="16" t="str">
        <f>IF(F50 &gt; G50, 1, "")</f>
        <v/>
      </c>
      <c r="F50" s="16"/>
      <c r="G50" s="16"/>
      <c r="H50" s="16" t="str">
        <f t="shared" ref="H50:H58" si="15">IF(G50 &gt; F50, 1, "")</f>
        <v/>
      </c>
      <c r="I50" s="17">
        <v>94</v>
      </c>
      <c r="J50" s="17" t="s">
        <v>13</v>
      </c>
      <c r="K50" s="7"/>
      <c r="L50" s="13"/>
      <c r="M50" s="28"/>
      <c r="N50" s="17" t="s">
        <v>13</v>
      </c>
      <c r="O50" s="19">
        <v>84</v>
      </c>
      <c r="P50" s="16" t="str">
        <f>IF(Q50 &gt; R50, 1, "")</f>
        <v/>
      </c>
      <c r="Q50" s="16"/>
      <c r="R50" s="16"/>
      <c r="S50" s="16" t="str">
        <f t="shared" ref="S50:S55" si="16">IF(R50 &gt; Q50, 1, "")</f>
        <v/>
      </c>
      <c r="T50" s="17">
        <v>63</v>
      </c>
      <c r="U50" s="17" t="s">
        <v>4</v>
      </c>
    </row>
    <row r="51" spans="1:22" ht="22" customHeight="1" x14ac:dyDescent="0.2">
      <c r="A51" s="7"/>
      <c r="B51" s="28"/>
      <c r="C51" s="17" t="s">
        <v>14</v>
      </c>
      <c r="D51" s="18">
        <v>11</v>
      </c>
      <c r="E51" s="16" t="str">
        <f t="shared" ref="E51:E58" si="17">IF(F51 &gt; G51, 1, "")</f>
        <v/>
      </c>
      <c r="F51" s="16"/>
      <c r="G51" s="16"/>
      <c r="H51" s="16" t="str">
        <f t="shared" si="15"/>
        <v/>
      </c>
      <c r="I51" s="17">
        <v>68</v>
      </c>
      <c r="J51" s="17" t="s">
        <v>4</v>
      </c>
      <c r="K51" s="7"/>
      <c r="L51" s="13"/>
      <c r="M51" s="28"/>
      <c r="N51" s="17" t="s">
        <v>17</v>
      </c>
      <c r="O51" s="18">
        <v>51</v>
      </c>
      <c r="P51" s="16" t="str">
        <f t="shared" ref="P51:P58" si="18">IF(Q51 &gt; R51, 1, "")</f>
        <v/>
      </c>
      <c r="Q51" s="16"/>
      <c r="R51" s="16"/>
      <c r="S51" s="16" t="str">
        <f t="shared" si="16"/>
        <v/>
      </c>
      <c r="T51" s="17">
        <v>15</v>
      </c>
      <c r="U51" s="17" t="s">
        <v>15</v>
      </c>
    </row>
    <row r="52" spans="1:22" ht="22" x14ac:dyDescent="0.2">
      <c r="A52" s="7"/>
      <c r="B52" s="28"/>
      <c r="C52" s="17" t="s">
        <v>20</v>
      </c>
      <c r="D52" s="17">
        <v>26</v>
      </c>
      <c r="E52" s="16" t="str">
        <f t="shared" si="17"/>
        <v/>
      </c>
      <c r="F52" s="16"/>
      <c r="G52" s="16"/>
      <c r="H52" s="16" t="str">
        <f t="shared" si="15"/>
        <v/>
      </c>
      <c r="I52" s="17">
        <v>8</v>
      </c>
      <c r="J52" s="17" t="s">
        <v>14</v>
      </c>
      <c r="K52" s="7"/>
      <c r="L52" s="13"/>
      <c r="M52" s="28"/>
      <c r="N52" s="17" t="s">
        <v>5</v>
      </c>
      <c r="O52" s="17">
        <v>80</v>
      </c>
      <c r="P52" s="16" t="str">
        <f t="shared" si="18"/>
        <v/>
      </c>
      <c r="Q52" s="16"/>
      <c r="R52" s="16"/>
      <c r="S52" s="16" t="str">
        <f t="shared" si="16"/>
        <v/>
      </c>
      <c r="T52" s="17">
        <v>86</v>
      </c>
      <c r="U52" s="17" t="s">
        <v>13</v>
      </c>
    </row>
    <row r="53" spans="1:22" ht="24" thickBot="1" x14ac:dyDescent="0.25">
      <c r="A53" s="7"/>
      <c r="B53" s="29"/>
      <c r="C53" s="21" t="s">
        <v>17</v>
      </c>
      <c r="D53" s="21">
        <v>55</v>
      </c>
      <c r="E53" s="25" t="str">
        <f t="shared" si="17"/>
        <v/>
      </c>
      <c r="F53" s="20"/>
      <c r="G53" s="20"/>
      <c r="H53" s="20" t="str">
        <f t="shared" si="15"/>
        <v/>
      </c>
      <c r="I53" s="21">
        <v>17</v>
      </c>
      <c r="J53" s="21" t="s">
        <v>15</v>
      </c>
      <c r="K53" s="7"/>
      <c r="L53" s="13"/>
      <c r="M53" s="29"/>
      <c r="N53" s="21" t="s">
        <v>14</v>
      </c>
      <c r="O53" s="21">
        <v>6</v>
      </c>
      <c r="P53" s="25" t="str">
        <f t="shared" si="18"/>
        <v/>
      </c>
      <c r="Q53" s="20"/>
      <c r="R53" s="20"/>
      <c r="S53" s="20" t="str">
        <f t="shared" si="16"/>
        <v/>
      </c>
      <c r="T53" s="21">
        <v>66</v>
      </c>
      <c r="U53" s="21" t="s">
        <v>4</v>
      </c>
    </row>
    <row r="54" spans="1:22" ht="22" x14ac:dyDescent="0.2">
      <c r="A54" s="7"/>
      <c r="B54" s="30" t="s">
        <v>119</v>
      </c>
      <c r="C54" s="19" t="s">
        <v>5</v>
      </c>
      <c r="D54" s="19">
        <v>77</v>
      </c>
      <c r="E54" s="15" t="str">
        <f t="shared" si="17"/>
        <v/>
      </c>
      <c r="F54" s="15"/>
      <c r="G54" s="15"/>
      <c r="H54" s="15" t="str">
        <f t="shared" si="15"/>
        <v/>
      </c>
      <c r="I54" s="19">
        <v>92</v>
      </c>
      <c r="J54" s="19" t="s">
        <v>13</v>
      </c>
      <c r="K54" s="7"/>
      <c r="L54" s="13"/>
      <c r="M54" s="30" t="s">
        <v>119</v>
      </c>
      <c r="N54" s="19" t="s">
        <v>20</v>
      </c>
      <c r="O54" s="19">
        <v>31</v>
      </c>
      <c r="P54" s="15" t="str">
        <f>IF(Q54 &gt; R54, 1, "")</f>
        <v/>
      </c>
      <c r="Q54" s="15"/>
      <c r="R54" s="15"/>
      <c r="S54" s="15" t="str">
        <f t="shared" si="16"/>
        <v/>
      </c>
      <c r="T54" s="19">
        <v>62</v>
      </c>
      <c r="U54" s="19" t="s">
        <v>4</v>
      </c>
    </row>
    <row r="55" spans="1:22" ht="22" x14ac:dyDescent="0.2">
      <c r="A55" s="7"/>
      <c r="B55" s="31"/>
      <c r="C55" s="17" t="s">
        <v>14</v>
      </c>
      <c r="D55" s="17">
        <v>1</v>
      </c>
      <c r="E55" s="16" t="str">
        <f t="shared" si="17"/>
        <v/>
      </c>
      <c r="F55" s="16"/>
      <c r="G55" s="16"/>
      <c r="H55" s="16" t="str">
        <f t="shared" si="15"/>
        <v/>
      </c>
      <c r="I55" s="17">
        <v>71</v>
      </c>
      <c r="J55" s="17" t="s">
        <v>4</v>
      </c>
      <c r="K55" s="7"/>
      <c r="L55" s="13"/>
      <c r="M55" s="31"/>
      <c r="N55" s="17" t="s">
        <v>17</v>
      </c>
      <c r="O55" s="17">
        <v>57</v>
      </c>
      <c r="P55" s="16" t="str">
        <f t="shared" si="18"/>
        <v/>
      </c>
      <c r="Q55" s="16"/>
      <c r="R55" s="16"/>
      <c r="S55" s="16" t="str">
        <f t="shared" si="16"/>
        <v/>
      </c>
      <c r="T55" s="17">
        <v>23</v>
      </c>
      <c r="U55" s="17" t="s">
        <v>15</v>
      </c>
    </row>
    <row r="56" spans="1:22" ht="22" x14ac:dyDescent="0.2">
      <c r="A56" s="7"/>
      <c r="B56" s="31"/>
      <c r="C56" s="17" t="s">
        <v>20</v>
      </c>
      <c r="D56" s="17">
        <v>29</v>
      </c>
      <c r="E56" s="16" t="str">
        <f t="shared" si="17"/>
        <v/>
      </c>
      <c r="F56" s="16"/>
      <c r="G56" s="16"/>
      <c r="H56" s="16" t="str">
        <f>IF(G56 &gt; F56, 1, "")</f>
        <v/>
      </c>
      <c r="I56" s="17">
        <v>22</v>
      </c>
      <c r="J56" s="17" t="s">
        <v>15</v>
      </c>
      <c r="K56" s="7"/>
      <c r="L56" s="13"/>
      <c r="M56" s="31"/>
      <c r="N56" s="17" t="s">
        <v>5</v>
      </c>
      <c r="O56" s="17">
        <v>82</v>
      </c>
      <c r="P56" s="16" t="str">
        <f t="shared" si="18"/>
        <v/>
      </c>
      <c r="Q56" s="16"/>
      <c r="R56" s="16"/>
      <c r="S56" s="16" t="str">
        <f>IF(R56 &gt; Q56, 1, "")</f>
        <v/>
      </c>
      <c r="T56" s="17">
        <v>93</v>
      </c>
      <c r="U56" s="17" t="s">
        <v>13</v>
      </c>
    </row>
    <row r="57" spans="1:22" ht="22" x14ac:dyDescent="0.2">
      <c r="A57" s="7"/>
      <c r="B57" s="31"/>
      <c r="C57" s="17" t="s">
        <v>17</v>
      </c>
      <c r="D57" s="17">
        <v>59</v>
      </c>
      <c r="E57" s="16" t="str">
        <f t="shared" si="17"/>
        <v/>
      </c>
      <c r="F57" s="16"/>
      <c r="G57" s="16"/>
      <c r="H57" s="16" t="str">
        <f t="shared" si="15"/>
        <v/>
      </c>
      <c r="I57" s="17">
        <v>18</v>
      </c>
      <c r="J57" s="17" t="s">
        <v>15</v>
      </c>
      <c r="K57" s="7"/>
      <c r="L57" s="13"/>
      <c r="M57" s="31"/>
      <c r="N57" s="17" t="s">
        <v>14</v>
      </c>
      <c r="O57" s="17">
        <v>10</v>
      </c>
      <c r="P57" s="16" t="str">
        <f t="shared" si="18"/>
        <v/>
      </c>
      <c r="Q57" s="16"/>
      <c r="R57" s="16"/>
      <c r="S57" s="16" t="str">
        <f>IF(R57 &gt; Q57, 1, "")</f>
        <v/>
      </c>
      <c r="T57" s="17">
        <v>32</v>
      </c>
      <c r="U57" s="17" t="s">
        <v>20</v>
      </c>
    </row>
    <row r="58" spans="1:22" ht="22" x14ac:dyDescent="0.2">
      <c r="A58" s="7"/>
      <c r="B58" s="31"/>
      <c r="C58" s="17" t="s">
        <v>5</v>
      </c>
      <c r="D58" s="17">
        <v>75</v>
      </c>
      <c r="E58" s="16" t="str">
        <f t="shared" si="17"/>
        <v/>
      </c>
      <c r="F58" s="16"/>
      <c r="G58" s="16"/>
      <c r="H58" s="16" t="str">
        <f t="shared" si="15"/>
        <v/>
      </c>
      <c r="I58" s="17">
        <v>83</v>
      </c>
      <c r="J58" s="17" t="s">
        <v>13</v>
      </c>
      <c r="K58" s="7"/>
      <c r="L58" s="13"/>
      <c r="M58" s="31"/>
      <c r="N58" s="17" t="s">
        <v>20</v>
      </c>
      <c r="O58" s="17">
        <v>35</v>
      </c>
      <c r="P58" s="16" t="str">
        <f t="shared" si="18"/>
        <v/>
      </c>
      <c r="Q58" s="16"/>
      <c r="R58" s="16"/>
      <c r="S58" s="16" t="str">
        <f t="shared" ref="S58" si="19">IF(R58 &gt; Q58, 1, "")</f>
        <v/>
      </c>
      <c r="T58" s="17">
        <v>69</v>
      </c>
      <c r="U58" s="17" t="s">
        <v>4</v>
      </c>
    </row>
    <row r="59" spans="1:22" x14ac:dyDescent="0.2">
      <c r="A59" s="6"/>
      <c r="B59" s="6"/>
      <c r="C59" s="6"/>
      <c r="D59" s="5"/>
      <c r="E59" s="5"/>
      <c r="F59" s="5"/>
      <c r="G59" s="5"/>
      <c r="H59" s="5"/>
      <c r="I59" s="5"/>
      <c r="J59" s="5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2">
      <c r="A60" s="6"/>
      <c r="B60" s="6"/>
      <c r="C60" s="6"/>
      <c r="D60" s="5"/>
      <c r="E60" s="5"/>
      <c r="F60" s="5"/>
      <c r="G60" s="5"/>
      <c r="H60" s="5"/>
      <c r="I60" s="5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27" x14ac:dyDescent="0.35">
      <c r="A61" s="6"/>
      <c r="B61" s="26" t="s">
        <v>39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5"/>
    </row>
    <row r="62" spans="1:22" ht="22" x14ac:dyDescent="0.2">
      <c r="A62" s="7"/>
      <c r="B62" s="27" t="s">
        <v>29</v>
      </c>
      <c r="C62" s="27"/>
      <c r="D62" s="27"/>
      <c r="E62" s="27"/>
      <c r="F62" s="27"/>
      <c r="G62" s="27"/>
      <c r="H62" s="27"/>
      <c r="I62" s="27"/>
      <c r="J62" s="27"/>
      <c r="K62" s="8"/>
      <c r="L62" s="9"/>
      <c r="M62" s="27" t="s">
        <v>30</v>
      </c>
      <c r="N62" s="27"/>
      <c r="O62" s="27"/>
      <c r="P62" s="27"/>
      <c r="Q62" s="27"/>
      <c r="R62" s="27"/>
      <c r="S62" s="27"/>
      <c r="T62" s="27"/>
      <c r="U62" s="27"/>
      <c r="V62" s="10"/>
    </row>
    <row r="63" spans="1:22" x14ac:dyDescent="0.2">
      <c r="A63" s="6"/>
      <c r="B63" s="11" t="s">
        <v>31</v>
      </c>
      <c r="C63" s="11" t="s">
        <v>2</v>
      </c>
      <c r="D63" s="11" t="s">
        <v>32</v>
      </c>
      <c r="E63" s="11" t="s">
        <v>121</v>
      </c>
      <c r="F63" s="11" t="s">
        <v>33</v>
      </c>
      <c r="G63" s="11" t="s">
        <v>34</v>
      </c>
      <c r="H63" s="11" t="s">
        <v>122</v>
      </c>
      <c r="I63" s="11" t="s">
        <v>35</v>
      </c>
      <c r="J63" s="11" t="s">
        <v>2</v>
      </c>
      <c r="K63" s="7"/>
      <c r="L63" s="7"/>
      <c r="M63" s="11" t="s">
        <v>31</v>
      </c>
      <c r="N63" s="11" t="s">
        <v>2</v>
      </c>
      <c r="O63" s="11" t="s">
        <v>32</v>
      </c>
      <c r="P63" s="11" t="s">
        <v>121</v>
      </c>
      <c r="Q63" s="11" t="s">
        <v>33</v>
      </c>
      <c r="R63" s="11" t="s">
        <v>34</v>
      </c>
      <c r="S63" s="11" t="s">
        <v>122</v>
      </c>
      <c r="T63" s="11" t="s">
        <v>35</v>
      </c>
      <c r="U63" s="11" t="s">
        <v>2</v>
      </c>
      <c r="V63" s="5"/>
    </row>
    <row r="64" spans="1:22" ht="22" x14ac:dyDescent="0.2">
      <c r="A64" s="7"/>
      <c r="B64" s="28" t="s">
        <v>113</v>
      </c>
      <c r="C64" s="17" t="s">
        <v>17</v>
      </c>
      <c r="D64" s="17">
        <v>59</v>
      </c>
      <c r="E64" s="16" t="str">
        <f>IF(F64 &gt; G64, 1, "")</f>
        <v/>
      </c>
      <c r="F64" s="16"/>
      <c r="G64" s="16"/>
      <c r="H64" s="16" t="str">
        <f>IF(G64 &gt; F64, 1, "")</f>
        <v/>
      </c>
      <c r="I64" s="17">
        <v>63</v>
      </c>
      <c r="J64" s="17" t="s">
        <v>4</v>
      </c>
      <c r="K64" s="7"/>
      <c r="L64" s="13"/>
      <c r="M64" s="28" t="s">
        <v>113</v>
      </c>
      <c r="N64" s="17" t="s">
        <v>20</v>
      </c>
      <c r="O64" s="17">
        <v>35</v>
      </c>
      <c r="P64" s="16" t="str">
        <f>IF(Q64 &gt; R64, 1, "")</f>
        <v/>
      </c>
      <c r="Q64" s="16"/>
      <c r="R64" s="16"/>
      <c r="S64" s="16" t="str">
        <f>IF(R64 &gt; Q64, 1, "")</f>
        <v/>
      </c>
      <c r="T64" s="17">
        <v>23</v>
      </c>
      <c r="U64" s="17" t="s">
        <v>15</v>
      </c>
    </row>
    <row r="65" spans="1:22" ht="22" x14ac:dyDescent="0.2">
      <c r="A65" s="7"/>
      <c r="B65" s="28"/>
      <c r="C65" s="17" t="s">
        <v>5</v>
      </c>
      <c r="D65" s="17">
        <v>74</v>
      </c>
      <c r="E65" s="16" t="str">
        <f>IF(F65 &gt; G65, 1, "")</f>
        <v/>
      </c>
      <c r="F65" s="16"/>
      <c r="G65" s="16"/>
      <c r="H65" s="16" t="str">
        <f t="shared" ref="H65:H73" si="20">IF(G65 &gt; F65, 1, "")</f>
        <v/>
      </c>
      <c r="I65" s="17">
        <v>6</v>
      </c>
      <c r="J65" s="17" t="s">
        <v>14</v>
      </c>
      <c r="K65" s="7"/>
      <c r="L65" s="13"/>
      <c r="M65" s="28"/>
      <c r="N65" s="17" t="s">
        <v>13</v>
      </c>
      <c r="O65" s="17">
        <v>83</v>
      </c>
      <c r="P65" s="16" t="str">
        <f>IF(Q65 &gt; R65, 1, "")</f>
        <v/>
      </c>
      <c r="Q65" s="16"/>
      <c r="R65" s="16"/>
      <c r="S65" s="16" t="str">
        <f t="shared" ref="S65:S66" si="21">IF(R65 &gt; Q65, 1, "")</f>
        <v/>
      </c>
      <c r="T65" s="17">
        <v>20</v>
      </c>
      <c r="U65" s="17" t="s">
        <v>15</v>
      </c>
    </row>
    <row r="66" spans="1:22" ht="22" x14ac:dyDescent="0.2">
      <c r="A66" s="7"/>
      <c r="B66" s="28"/>
      <c r="C66" s="17" t="s">
        <v>20</v>
      </c>
      <c r="D66" s="18">
        <v>26</v>
      </c>
      <c r="E66" s="16" t="str">
        <f>IF(F66 &gt; G66, 1, "")</f>
        <v/>
      </c>
      <c r="F66" s="16"/>
      <c r="G66" s="16"/>
      <c r="H66" s="16" t="str">
        <f t="shared" si="20"/>
        <v/>
      </c>
      <c r="I66" s="17">
        <v>17</v>
      </c>
      <c r="J66" s="17" t="s">
        <v>15</v>
      </c>
      <c r="K66" s="7"/>
      <c r="L66" s="13"/>
      <c r="M66" s="28"/>
      <c r="N66" s="17" t="s">
        <v>17</v>
      </c>
      <c r="O66" s="18">
        <v>57</v>
      </c>
      <c r="P66" s="16" t="str">
        <f>IF(Q66 &gt; R66, 1, "")</f>
        <v/>
      </c>
      <c r="Q66" s="16"/>
      <c r="R66" s="16"/>
      <c r="S66" s="16" t="str">
        <f t="shared" si="21"/>
        <v/>
      </c>
      <c r="T66" s="17">
        <v>71</v>
      </c>
      <c r="U66" s="17" t="s">
        <v>4</v>
      </c>
    </row>
    <row r="67" spans="1:22" ht="22" x14ac:dyDescent="0.2">
      <c r="A67" s="7"/>
      <c r="B67" s="28"/>
      <c r="C67" s="17" t="s">
        <v>13</v>
      </c>
      <c r="D67" s="17">
        <v>92</v>
      </c>
      <c r="E67" s="16" t="str">
        <f t="shared" ref="E67:E73" si="22">IF(F67 &gt; G67, 1, "")</f>
        <v/>
      </c>
      <c r="F67" s="16"/>
      <c r="G67" s="16"/>
      <c r="H67" s="16" t="str">
        <f>IF(G67 &gt; F67, 1, "")</f>
        <v/>
      </c>
      <c r="I67" s="17">
        <v>10</v>
      </c>
      <c r="J67" s="17" t="s">
        <v>14</v>
      </c>
      <c r="K67" s="7"/>
      <c r="L67" s="13"/>
      <c r="M67" s="28"/>
      <c r="N67" s="17" t="s">
        <v>5</v>
      </c>
      <c r="O67" s="17">
        <v>77</v>
      </c>
      <c r="P67" s="16" t="str">
        <f t="shared" ref="P67:P73" si="23">IF(Q67 &gt; R67, 1, "")</f>
        <v/>
      </c>
      <c r="Q67" s="16"/>
      <c r="R67" s="16"/>
      <c r="S67" s="16" t="str">
        <f>IF(R67 &gt; Q67, 1, "")</f>
        <v/>
      </c>
      <c r="T67" s="17">
        <v>1</v>
      </c>
      <c r="U67" s="17" t="s">
        <v>14</v>
      </c>
    </row>
    <row r="68" spans="1:22" ht="24" thickBot="1" x14ac:dyDescent="0.25">
      <c r="A68" s="7"/>
      <c r="B68" s="29"/>
      <c r="C68" s="21" t="s">
        <v>17</v>
      </c>
      <c r="D68" s="21">
        <v>55</v>
      </c>
      <c r="E68" s="25" t="str">
        <f t="shared" si="22"/>
        <v/>
      </c>
      <c r="F68" s="20"/>
      <c r="G68" s="20"/>
      <c r="H68" s="20" t="str">
        <f t="shared" si="20"/>
        <v/>
      </c>
      <c r="I68" s="21">
        <v>66</v>
      </c>
      <c r="J68" s="21" t="s">
        <v>4</v>
      </c>
      <c r="K68" s="7"/>
      <c r="L68" s="13"/>
      <c r="M68" s="29"/>
      <c r="N68" s="21" t="s">
        <v>20</v>
      </c>
      <c r="O68" s="21">
        <v>36</v>
      </c>
      <c r="P68" s="25" t="str">
        <f t="shared" si="23"/>
        <v/>
      </c>
      <c r="Q68" s="20"/>
      <c r="R68" s="20"/>
      <c r="S68" s="20" t="str">
        <f t="shared" ref="S68:S70" si="24">IF(R68 &gt; Q68, 1, "")</f>
        <v/>
      </c>
      <c r="T68" s="21">
        <v>15</v>
      </c>
      <c r="U68" s="21" t="s">
        <v>15</v>
      </c>
    </row>
    <row r="69" spans="1:22" ht="22" x14ac:dyDescent="0.2">
      <c r="A69" s="7"/>
      <c r="B69" s="30" t="s">
        <v>120</v>
      </c>
      <c r="C69" s="19" t="s">
        <v>5</v>
      </c>
      <c r="D69" s="19">
        <v>75</v>
      </c>
      <c r="E69" s="15" t="str">
        <f t="shared" si="22"/>
        <v/>
      </c>
      <c r="F69" s="15"/>
      <c r="G69" s="15"/>
      <c r="H69" s="15" t="str">
        <f t="shared" si="20"/>
        <v/>
      </c>
      <c r="I69" s="19">
        <v>11</v>
      </c>
      <c r="J69" s="19" t="s">
        <v>14</v>
      </c>
      <c r="K69" s="7"/>
      <c r="L69" s="13"/>
      <c r="M69" s="30" t="s">
        <v>120</v>
      </c>
      <c r="N69" s="19" t="s">
        <v>13</v>
      </c>
      <c r="O69" s="19">
        <v>86</v>
      </c>
      <c r="P69" s="15" t="str">
        <f t="shared" si="23"/>
        <v/>
      </c>
      <c r="Q69" s="15"/>
      <c r="R69" s="15"/>
      <c r="S69" s="15" t="str">
        <f t="shared" si="24"/>
        <v/>
      </c>
      <c r="T69" s="19">
        <v>68</v>
      </c>
      <c r="U69" s="19" t="s">
        <v>4</v>
      </c>
    </row>
    <row r="70" spans="1:22" ht="22" x14ac:dyDescent="0.2">
      <c r="A70" s="7"/>
      <c r="B70" s="31"/>
      <c r="C70" s="17" t="s">
        <v>20</v>
      </c>
      <c r="D70" s="17">
        <v>32</v>
      </c>
      <c r="E70" s="16" t="str">
        <f t="shared" si="22"/>
        <v/>
      </c>
      <c r="F70" s="16"/>
      <c r="G70" s="16"/>
      <c r="H70" s="16" t="str">
        <f t="shared" si="20"/>
        <v/>
      </c>
      <c r="I70" s="17">
        <v>22</v>
      </c>
      <c r="J70" s="17" t="s">
        <v>15</v>
      </c>
      <c r="K70" s="7"/>
      <c r="L70" s="13"/>
      <c r="M70" s="31"/>
      <c r="N70" s="17" t="s">
        <v>17</v>
      </c>
      <c r="O70" s="17">
        <v>51</v>
      </c>
      <c r="P70" s="16" t="str">
        <f t="shared" si="23"/>
        <v/>
      </c>
      <c r="Q70" s="16"/>
      <c r="R70" s="16"/>
      <c r="S70" s="16" t="str">
        <f t="shared" si="24"/>
        <v/>
      </c>
      <c r="T70" s="17">
        <v>62</v>
      </c>
      <c r="U70" s="17" t="s">
        <v>4</v>
      </c>
    </row>
    <row r="71" spans="1:22" ht="22" x14ac:dyDescent="0.2">
      <c r="A71" s="7"/>
      <c r="B71" s="31"/>
      <c r="C71" s="17" t="s">
        <v>13</v>
      </c>
      <c r="D71" s="17">
        <v>84</v>
      </c>
      <c r="E71" s="16" t="str">
        <f t="shared" si="22"/>
        <v/>
      </c>
      <c r="F71" s="16"/>
      <c r="G71" s="16"/>
      <c r="H71" s="16" t="str">
        <f>IF(G71 &gt; F71, 1, "")</f>
        <v/>
      </c>
      <c r="I71" s="17">
        <v>31</v>
      </c>
      <c r="J71" s="17" t="s">
        <v>20</v>
      </c>
      <c r="K71" s="7"/>
      <c r="L71" s="13"/>
      <c r="M71" s="31"/>
      <c r="N71" s="17" t="s">
        <v>5</v>
      </c>
      <c r="O71" s="17">
        <v>82</v>
      </c>
      <c r="P71" s="16" t="str">
        <f t="shared" si="23"/>
        <v/>
      </c>
      <c r="Q71" s="16"/>
      <c r="R71" s="16"/>
      <c r="S71" s="16" t="str">
        <f>IF(R71 &gt; Q71, 1, "")</f>
        <v/>
      </c>
      <c r="T71" s="17">
        <v>3</v>
      </c>
      <c r="U71" s="17" t="s">
        <v>14</v>
      </c>
    </row>
    <row r="72" spans="1:22" ht="22" x14ac:dyDescent="0.2">
      <c r="A72" s="7"/>
      <c r="B72" s="31"/>
      <c r="C72" s="17" t="s">
        <v>17</v>
      </c>
      <c r="D72" s="17">
        <v>53</v>
      </c>
      <c r="E72" s="16" t="str">
        <f t="shared" si="22"/>
        <v/>
      </c>
      <c r="F72" s="16"/>
      <c r="G72" s="16"/>
      <c r="H72" s="16" t="str">
        <f t="shared" si="20"/>
        <v/>
      </c>
      <c r="I72" s="17">
        <v>69</v>
      </c>
      <c r="J72" s="17" t="s">
        <v>4</v>
      </c>
      <c r="K72" s="7"/>
      <c r="L72" s="13"/>
      <c r="M72" s="31"/>
      <c r="N72" s="17" t="s">
        <v>20</v>
      </c>
      <c r="O72" s="17">
        <v>29</v>
      </c>
      <c r="P72" s="16" t="str">
        <f t="shared" si="23"/>
        <v/>
      </c>
      <c r="Q72" s="16"/>
      <c r="R72" s="16"/>
      <c r="S72" s="16" t="str">
        <f t="shared" ref="S72:S73" si="25">IF(R72 &gt; Q72, 1, "")</f>
        <v/>
      </c>
      <c r="T72" s="17">
        <v>93</v>
      </c>
      <c r="U72" s="17" t="s">
        <v>13</v>
      </c>
    </row>
    <row r="73" spans="1:22" ht="22" x14ac:dyDescent="0.2">
      <c r="A73" s="7"/>
      <c r="B73" s="31"/>
      <c r="C73" s="17" t="s">
        <v>5</v>
      </c>
      <c r="D73" s="17">
        <v>80</v>
      </c>
      <c r="E73" s="16" t="str">
        <f t="shared" si="22"/>
        <v/>
      </c>
      <c r="F73" s="16"/>
      <c r="G73" s="16"/>
      <c r="H73" s="16" t="str">
        <f t="shared" si="20"/>
        <v/>
      </c>
      <c r="I73" s="17">
        <v>8</v>
      </c>
      <c r="J73" s="17" t="s">
        <v>14</v>
      </c>
      <c r="K73" s="7"/>
      <c r="L73" s="13"/>
      <c r="M73" s="31"/>
      <c r="N73" s="17" t="s">
        <v>13</v>
      </c>
      <c r="O73" s="17">
        <v>94</v>
      </c>
      <c r="P73" s="16" t="str">
        <f t="shared" si="23"/>
        <v/>
      </c>
      <c r="Q73" s="16"/>
      <c r="R73" s="16"/>
      <c r="S73" s="16" t="str">
        <f t="shared" si="25"/>
        <v/>
      </c>
      <c r="T73" s="17">
        <v>18</v>
      </c>
      <c r="U73" s="17" t="s">
        <v>15</v>
      </c>
    </row>
    <row r="74" spans="1:22" x14ac:dyDescent="0.2">
      <c r="A74" s="6"/>
      <c r="B74" s="6"/>
      <c r="C74" s="6"/>
      <c r="D74" s="5"/>
      <c r="E74" s="5"/>
      <c r="F74" s="5"/>
      <c r="G74" s="5"/>
      <c r="H74" s="5"/>
      <c r="I74" s="5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2">
      <c r="A75" s="6"/>
      <c r="B75" s="6"/>
      <c r="C75" s="6"/>
      <c r="D75" s="5"/>
      <c r="E75" s="5"/>
      <c r="F75" s="5"/>
      <c r="G75" s="5"/>
      <c r="H75" s="5"/>
      <c r="I75" s="5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27" x14ac:dyDescent="0.35">
      <c r="A76" s="6"/>
      <c r="B76" s="26" t="s">
        <v>40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5"/>
    </row>
    <row r="77" spans="1:22" ht="22" x14ac:dyDescent="0.2">
      <c r="A77" s="7"/>
      <c r="B77" s="27" t="s">
        <v>29</v>
      </c>
      <c r="C77" s="27"/>
      <c r="D77" s="27"/>
      <c r="E77" s="27"/>
      <c r="F77" s="27"/>
      <c r="G77" s="27"/>
      <c r="H77" s="27"/>
      <c r="I77" s="27"/>
      <c r="J77" s="27"/>
      <c r="K77" s="8"/>
      <c r="L77" s="9"/>
      <c r="M77" s="27" t="s">
        <v>29</v>
      </c>
      <c r="N77" s="27"/>
      <c r="O77" s="27"/>
      <c r="P77" s="27"/>
      <c r="Q77" s="27"/>
      <c r="R77" s="27"/>
      <c r="S77" s="27"/>
      <c r="T77" s="27"/>
      <c r="U77" s="27"/>
      <c r="V77" s="10"/>
    </row>
    <row r="78" spans="1:22" x14ac:dyDescent="0.2">
      <c r="A78" s="6"/>
      <c r="B78" s="11" t="s">
        <v>31</v>
      </c>
      <c r="C78" s="11" t="s">
        <v>2</v>
      </c>
      <c r="D78" s="11" t="s">
        <v>32</v>
      </c>
      <c r="E78" s="11" t="s">
        <v>121</v>
      </c>
      <c r="F78" s="11" t="s">
        <v>33</v>
      </c>
      <c r="G78" s="11" t="s">
        <v>34</v>
      </c>
      <c r="H78" s="11" t="s">
        <v>122</v>
      </c>
      <c r="I78" s="11" t="s">
        <v>35</v>
      </c>
      <c r="J78" s="11" t="s">
        <v>2</v>
      </c>
      <c r="K78" s="7"/>
      <c r="L78" s="7"/>
      <c r="M78" s="11" t="s">
        <v>31</v>
      </c>
      <c r="N78" s="11" t="s">
        <v>2</v>
      </c>
      <c r="O78" s="11" t="s">
        <v>32</v>
      </c>
      <c r="P78" s="11" t="s">
        <v>121</v>
      </c>
      <c r="Q78" s="11" t="s">
        <v>33</v>
      </c>
      <c r="R78" s="11" t="s">
        <v>34</v>
      </c>
      <c r="S78" s="11" t="s">
        <v>122</v>
      </c>
      <c r="T78" s="11" t="s">
        <v>35</v>
      </c>
      <c r="U78" s="11" t="s">
        <v>2</v>
      </c>
      <c r="V78" s="5"/>
    </row>
    <row r="79" spans="1:22" ht="22" x14ac:dyDescent="0.2">
      <c r="A79" s="7"/>
      <c r="B79" s="28" t="s">
        <v>115</v>
      </c>
      <c r="C79" s="17" t="s">
        <v>17</v>
      </c>
      <c r="D79" s="17">
        <v>59</v>
      </c>
      <c r="E79" s="16" t="str">
        <f>IF(F79 &gt; G79, 1, "")</f>
        <v/>
      </c>
      <c r="F79" s="16"/>
      <c r="G79" s="16"/>
      <c r="H79" s="16" t="str">
        <f>IF(G79 &gt; F79, 1, "")</f>
        <v/>
      </c>
      <c r="I79" s="17">
        <v>92</v>
      </c>
      <c r="J79" s="17" t="s">
        <v>13</v>
      </c>
      <c r="K79" s="7"/>
      <c r="L79" s="13"/>
      <c r="M79" s="28" t="s">
        <v>115</v>
      </c>
      <c r="N79" s="17" t="s">
        <v>14</v>
      </c>
      <c r="O79" s="17">
        <v>3</v>
      </c>
      <c r="P79" s="16" t="str">
        <f>IF(Q79 &gt; R79, 1, "")</f>
        <v/>
      </c>
      <c r="Q79" s="16"/>
      <c r="R79" s="16"/>
      <c r="S79" s="16" t="str">
        <f>IF(R79 &gt; Q79, 1, "")</f>
        <v/>
      </c>
      <c r="T79" s="17">
        <v>15</v>
      </c>
      <c r="U79" s="17" t="s">
        <v>15</v>
      </c>
    </row>
    <row r="80" spans="1:22" ht="22" x14ac:dyDescent="0.2">
      <c r="A80" s="7"/>
      <c r="B80" s="28"/>
      <c r="C80" s="17" t="s">
        <v>5</v>
      </c>
      <c r="D80" s="17">
        <v>74</v>
      </c>
      <c r="E80" s="16" t="str">
        <f>IF(F80 &gt; G80, 1, "")</f>
        <v/>
      </c>
      <c r="F80" s="16"/>
      <c r="G80" s="16"/>
      <c r="H80" s="16" t="str">
        <f t="shared" ref="H80:H88" si="26">IF(G80 &gt; F80, 1, "")</f>
        <v/>
      </c>
      <c r="I80" s="17">
        <v>69</v>
      </c>
      <c r="J80" s="17" t="s">
        <v>4</v>
      </c>
      <c r="K80" s="7"/>
      <c r="L80" s="13"/>
      <c r="M80" s="28"/>
      <c r="N80" s="17" t="s">
        <v>20</v>
      </c>
      <c r="O80" s="17">
        <v>35</v>
      </c>
      <c r="P80" s="16" t="str">
        <f>IF(Q80 &gt; R80, 1, "")</f>
        <v/>
      </c>
      <c r="Q80" s="16"/>
      <c r="R80" s="16"/>
      <c r="S80" s="16" t="str">
        <f t="shared" ref="S80:S81" si="27">IF(R80 &gt; Q80, 1, "")</f>
        <v/>
      </c>
      <c r="T80" s="17">
        <v>94</v>
      </c>
      <c r="U80" s="17" t="s">
        <v>13</v>
      </c>
    </row>
    <row r="81" spans="1:22" ht="22" x14ac:dyDescent="0.2">
      <c r="A81" s="7"/>
      <c r="B81" s="28"/>
      <c r="C81" s="17" t="s">
        <v>14</v>
      </c>
      <c r="D81" s="18">
        <v>10</v>
      </c>
      <c r="E81" s="16" t="str">
        <f>IF(F81 &gt; G81, 1, "")</f>
        <v/>
      </c>
      <c r="F81" s="16"/>
      <c r="G81" s="16"/>
      <c r="H81" s="16" t="str">
        <f t="shared" si="26"/>
        <v/>
      </c>
      <c r="I81" s="17">
        <v>23</v>
      </c>
      <c r="J81" s="17" t="s">
        <v>15</v>
      </c>
      <c r="K81" s="7"/>
      <c r="L81" s="13"/>
      <c r="M81" s="28"/>
      <c r="N81" s="17" t="s">
        <v>17</v>
      </c>
      <c r="O81" s="18">
        <v>51</v>
      </c>
      <c r="P81" s="16" t="str">
        <f>IF(Q81 &gt; R81, 1, "")</f>
        <v/>
      </c>
      <c r="Q81" s="16"/>
      <c r="R81" s="16"/>
      <c r="S81" s="16" t="str">
        <f t="shared" si="27"/>
        <v/>
      </c>
      <c r="T81" s="17">
        <v>93</v>
      </c>
      <c r="U81" s="17" t="s">
        <v>13</v>
      </c>
    </row>
    <row r="82" spans="1:22" ht="22" x14ac:dyDescent="0.2">
      <c r="A82" s="7"/>
      <c r="B82" s="28"/>
      <c r="C82" s="17" t="s">
        <v>20</v>
      </c>
      <c r="D82" s="17">
        <v>29</v>
      </c>
      <c r="E82" s="16" t="str">
        <f t="shared" ref="E82:E88" si="28">IF(F82 &gt; G82, 1, "")</f>
        <v/>
      </c>
      <c r="F82" s="16"/>
      <c r="G82" s="16"/>
      <c r="H82" s="16" t="str">
        <f>IF(G82 &gt; F82, 1, "")</f>
        <v/>
      </c>
      <c r="I82" s="17">
        <v>6</v>
      </c>
      <c r="J82" s="17" t="s">
        <v>14</v>
      </c>
      <c r="K82" s="7"/>
      <c r="L82" s="13"/>
      <c r="M82" s="28"/>
      <c r="N82" s="17" t="s">
        <v>5</v>
      </c>
      <c r="O82" s="17">
        <v>80</v>
      </c>
      <c r="P82" s="16" t="str">
        <f t="shared" ref="P82:P88" si="29">IF(Q82 &gt; R82, 1, "")</f>
        <v/>
      </c>
      <c r="Q82" s="16"/>
      <c r="R82" s="16"/>
      <c r="S82" s="16" t="str">
        <f>IF(R82 &gt; Q82, 1, "")</f>
        <v/>
      </c>
      <c r="T82" s="17">
        <v>62</v>
      </c>
      <c r="U82" s="17" t="s">
        <v>4</v>
      </c>
    </row>
    <row r="83" spans="1:22" ht="24" thickBot="1" x14ac:dyDescent="0.25">
      <c r="A83" s="7"/>
      <c r="B83" s="29"/>
      <c r="C83" s="21" t="s">
        <v>17</v>
      </c>
      <c r="D83" s="21">
        <v>55</v>
      </c>
      <c r="E83" s="25" t="str">
        <f t="shared" si="28"/>
        <v/>
      </c>
      <c r="F83" s="20"/>
      <c r="G83" s="20"/>
      <c r="H83" s="20" t="str">
        <f t="shared" si="26"/>
        <v/>
      </c>
      <c r="I83" s="21">
        <v>86</v>
      </c>
      <c r="J83" s="21" t="s">
        <v>13</v>
      </c>
      <c r="K83" s="7"/>
      <c r="L83" s="13"/>
      <c r="M83" s="29"/>
      <c r="N83" s="21" t="s">
        <v>14</v>
      </c>
      <c r="O83" s="21">
        <v>1</v>
      </c>
      <c r="P83" s="25" t="str">
        <f t="shared" si="29"/>
        <v/>
      </c>
      <c r="Q83" s="20"/>
      <c r="R83" s="20"/>
      <c r="S83" s="20" t="str">
        <f t="shared" ref="S83:S85" si="30">IF(R83 &gt; Q83, 1, "")</f>
        <v/>
      </c>
      <c r="T83" s="21">
        <v>17</v>
      </c>
      <c r="U83" s="21" t="s">
        <v>15</v>
      </c>
    </row>
    <row r="84" spans="1:22" ht="22" x14ac:dyDescent="0.2">
      <c r="A84" s="7"/>
      <c r="B84" s="30" t="s">
        <v>114</v>
      </c>
      <c r="C84" s="19" t="s">
        <v>5</v>
      </c>
      <c r="D84" s="19">
        <v>75</v>
      </c>
      <c r="E84" s="15" t="str">
        <f t="shared" si="28"/>
        <v/>
      </c>
      <c r="F84" s="15"/>
      <c r="G84" s="15"/>
      <c r="H84" s="15" t="str">
        <f t="shared" si="26"/>
        <v/>
      </c>
      <c r="I84" s="19">
        <v>68</v>
      </c>
      <c r="J84" s="19" t="s">
        <v>4</v>
      </c>
      <c r="K84" s="7"/>
      <c r="L84" s="13"/>
      <c r="M84" s="30" t="s">
        <v>114</v>
      </c>
      <c r="N84" s="19" t="s">
        <v>20</v>
      </c>
      <c r="O84" s="19">
        <v>32</v>
      </c>
      <c r="P84" s="15" t="str">
        <f t="shared" si="29"/>
        <v/>
      </c>
      <c r="Q84" s="15"/>
      <c r="R84" s="15"/>
      <c r="S84" s="15" t="str">
        <f t="shared" si="30"/>
        <v/>
      </c>
      <c r="T84" s="19">
        <v>63</v>
      </c>
      <c r="U84" s="19" t="s">
        <v>4</v>
      </c>
    </row>
    <row r="85" spans="1:22" ht="22" x14ac:dyDescent="0.2">
      <c r="A85" s="7"/>
      <c r="B85" s="31"/>
      <c r="C85" s="17" t="s">
        <v>14</v>
      </c>
      <c r="D85" s="17">
        <v>11</v>
      </c>
      <c r="E85" s="16" t="str">
        <f t="shared" si="28"/>
        <v/>
      </c>
      <c r="F85" s="16"/>
      <c r="G85" s="16"/>
      <c r="H85" s="16" t="str">
        <f t="shared" si="26"/>
        <v/>
      </c>
      <c r="I85" s="17">
        <v>22</v>
      </c>
      <c r="J85" s="17" t="s">
        <v>15</v>
      </c>
      <c r="K85" s="7"/>
      <c r="L85" s="13"/>
      <c r="M85" s="31"/>
      <c r="N85" s="17" t="s">
        <v>17</v>
      </c>
      <c r="O85" s="17">
        <v>57</v>
      </c>
      <c r="P85" s="16" t="str">
        <f t="shared" si="29"/>
        <v/>
      </c>
      <c r="Q85" s="16"/>
      <c r="R85" s="16"/>
      <c r="S85" s="16" t="str">
        <f t="shared" si="30"/>
        <v/>
      </c>
      <c r="T85" s="17">
        <v>83</v>
      </c>
      <c r="U85" s="17" t="s">
        <v>13</v>
      </c>
    </row>
    <row r="86" spans="1:22" ht="22" x14ac:dyDescent="0.2">
      <c r="A86" s="7"/>
      <c r="B86" s="31"/>
      <c r="C86" s="17" t="s">
        <v>20</v>
      </c>
      <c r="D86" s="17">
        <v>31</v>
      </c>
      <c r="E86" s="16" t="str">
        <f t="shared" si="28"/>
        <v/>
      </c>
      <c r="F86" s="16"/>
      <c r="G86" s="16"/>
      <c r="H86" s="16" t="str">
        <f>IF(G86 &gt; F86, 1, "")</f>
        <v/>
      </c>
      <c r="I86" s="17">
        <v>18</v>
      </c>
      <c r="J86" s="17" t="s">
        <v>15</v>
      </c>
      <c r="K86" s="7"/>
      <c r="L86" s="13"/>
      <c r="M86" s="31"/>
      <c r="N86" s="17" t="s">
        <v>5</v>
      </c>
      <c r="O86" s="17">
        <v>77</v>
      </c>
      <c r="P86" s="16" t="str">
        <f t="shared" si="29"/>
        <v/>
      </c>
      <c r="Q86" s="16"/>
      <c r="R86" s="16"/>
      <c r="S86" s="16" t="str">
        <f>IF(R86 &gt; Q86, 1, "")</f>
        <v/>
      </c>
      <c r="T86" s="17">
        <v>71</v>
      </c>
      <c r="U86" s="17" t="s">
        <v>4</v>
      </c>
    </row>
    <row r="87" spans="1:22" ht="22" x14ac:dyDescent="0.2">
      <c r="A87" s="7"/>
      <c r="B87" s="31"/>
      <c r="C87" s="17" t="s">
        <v>17</v>
      </c>
      <c r="D87" s="17">
        <v>53</v>
      </c>
      <c r="E87" s="16" t="str">
        <f t="shared" si="28"/>
        <v/>
      </c>
      <c r="F87" s="16"/>
      <c r="G87" s="16"/>
      <c r="H87" s="16" t="str">
        <f t="shared" si="26"/>
        <v/>
      </c>
      <c r="I87" s="17">
        <v>84</v>
      </c>
      <c r="J87" s="17" t="s">
        <v>13</v>
      </c>
      <c r="K87" s="7"/>
      <c r="L87" s="13"/>
      <c r="M87" s="31"/>
      <c r="N87" s="17" t="s">
        <v>14</v>
      </c>
      <c r="O87" s="17">
        <v>8</v>
      </c>
      <c r="P87" s="16" t="str">
        <f t="shared" si="29"/>
        <v/>
      </c>
      <c r="Q87" s="16"/>
      <c r="R87" s="16"/>
      <c r="S87" s="16" t="str">
        <f t="shared" ref="S87:S88" si="31">IF(R87 &gt; Q87, 1, "")</f>
        <v/>
      </c>
      <c r="T87" s="17">
        <v>36</v>
      </c>
      <c r="U87" s="17" t="s">
        <v>20</v>
      </c>
    </row>
    <row r="88" spans="1:22" ht="22" x14ac:dyDescent="0.2">
      <c r="A88" s="7"/>
      <c r="B88" s="31"/>
      <c r="C88" s="17" t="s">
        <v>5</v>
      </c>
      <c r="D88" s="17">
        <v>82</v>
      </c>
      <c r="E88" s="16" t="str">
        <f t="shared" si="28"/>
        <v/>
      </c>
      <c r="F88" s="16"/>
      <c r="G88" s="16"/>
      <c r="H88" s="16" t="str">
        <f t="shared" si="26"/>
        <v/>
      </c>
      <c r="I88" s="17">
        <v>66</v>
      </c>
      <c r="J88" s="17" t="s">
        <v>4</v>
      </c>
      <c r="K88" s="7"/>
      <c r="L88" s="13"/>
      <c r="M88" s="31"/>
      <c r="N88" s="17" t="s">
        <v>20</v>
      </c>
      <c r="O88" s="17">
        <v>26</v>
      </c>
      <c r="P88" s="16" t="str">
        <f t="shared" si="29"/>
        <v/>
      </c>
      <c r="Q88" s="16"/>
      <c r="R88" s="16"/>
      <c r="S88" s="16" t="str">
        <f t="shared" si="31"/>
        <v/>
      </c>
      <c r="T88" s="17">
        <v>20</v>
      </c>
      <c r="U88" s="17" t="s">
        <v>15</v>
      </c>
    </row>
    <row r="89" spans="1:22" x14ac:dyDescent="0.2">
      <c r="A89" s="6"/>
      <c r="B89" s="6"/>
      <c r="C89" s="6"/>
      <c r="D89" s="5"/>
      <c r="E89" s="5"/>
      <c r="F89" s="5"/>
      <c r="G89" s="5"/>
      <c r="H89" s="5"/>
      <c r="I89" s="5"/>
      <c r="J89" s="5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x14ac:dyDescent="0.2">
      <c r="A90" s="6"/>
      <c r="B90" s="6"/>
      <c r="C90" s="6"/>
      <c r="D90" s="5"/>
      <c r="E90" s="5"/>
      <c r="F90" s="5"/>
      <c r="G90" s="5"/>
      <c r="H90" s="5"/>
      <c r="I90" s="5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2">
      <c r="A91" s="6"/>
      <c r="B91" s="6"/>
      <c r="C91" s="6"/>
      <c r="D91" s="5"/>
      <c r="E91" s="5"/>
      <c r="F91" s="5"/>
      <c r="G91" s="5"/>
      <c r="H91" s="5"/>
      <c r="I91" s="5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x14ac:dyDescent="0.2">
      <c r="A92" s="6"/>
      <c r="B92" s="6"/>
      <c r="C92" s="6"/>
      <c r="D92" s="5"/>
      <c r="E92" s="5"/>
      <c r="F92" s="5"/>
      <c r="G92" s="5"/>
      <c r="H92" s="5"/>
      <c r="I92" s="5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x14ac:dyDescent="0.2">
      <c r="A93" s="6"/>
      <c r="B93" s="6"/>
      <c r="C93" s="6"/>
      <c r="D93" s="5"/>
      <c r="E93" s="5"/>
      <c r="F93" s="5"/>
      <c r="G93" s="5"/>
      <c r="H93" s="5"/>
      <c r="I93" s="5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x14ac:dyDescent="0.2">
      <c r="A94" s="6"/>
      <c r="B94" s="6"/>
      <c r="C94" s="6"/>
      <c r="D94" s="5"/>
      <c r="E94" s="5"/>
      <c r="F94" s="5"/>
      <c r="G94" s="5"/>
      <c r="H94" s="5"/>
      <c r="I94" s="5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x14ac:dyDescent="0.2">
      <c r="A95" s="6"/>
      <c r="B95" s="6"/>
      <c r="C95" s="6"/>
      <c r="D95" s="5"/>
      <c r="E95" s="5"/>
      <c r="F95" s="5"/>
      <c r="G95" s="5"/>
      <c r="H95" s="5"/>
      <c r="I95" s="5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x14ac:dyDescent="0.2">
      <c r="A96" s="6"/>
      <c r="B96" s="6"/>
      <c r="C96" s="6"/>
      <c r="D96" s="5"/>
      <c r="E96" s="5"/>
      <c r="F96" s="5"/>
      <c r="G96" s="5"/>
      <c r="H96" s="5"/>
      <c r="I96" s="5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x14ac:dyDescent="0.2">
      <c r="A97" s="6"/>
      <c r="B97" s="6"/>
      <c r="C97" s="6"/>
      <c r="D97" s="5"/>
      <c r="E97" s="5"/>
      <c r="F97" s="5"/>
      <c r="G97" s="5"/>
      <c r="H97" s="5"/>
      <c r="I97" s="5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x14ac:dyDescent="0.2">
      <c r="A98" s="6"/>
      <c r="B98" s="6"/>
      <c r="C98" s="6"/>
      <c r="D98" s="5"/>
      <c r="E98" s="5"/>
      <c r="F98" s="5"/>
      <c r="G98" s="5"/>
      <c r="H98" s="5"/>
      <c r="I98" s="5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x14ac:dyDescent="0.2">
      <c r="A99" s="6"/>
      <c r="B99" s="6"/>
      <c r="C99" s="6"/>
      <c r="D99" s="5"/>
      <c r="E99" s="5"/>
      <c r="F99" s="5"/>
      <c r="G99" s="5"/>
      <c r="H99" s="5"/>
      <c r="I99" s="5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</sheetData>
  <mergeCells count="42">
    <mergeCell ref="B76:U76"/>
    <mergeCell ref="B77:J77"/>
    <mergeCell ref="M77:U77"/>
    <mergeCell ref="B79:B83"/>
    <mergeCell ref="B84:B88"/>
    <mergeCell ref="M79:M83"/>
    <mergeCell ref="M84:M88"/>
    <mergeCell ref="B61:U61"/>
    <mergeCell ref="B62:J62"/>
    <mergeCell ref="M62:U62"/>
    <mergeCell ref="B64:B68"/>
    <mergeCell ref="B69:B73"/>
    <mergeCell ref="M64:M68"/>
    <mergeCell ref="M69:M73"/>
    <mergeCell ref="B46:U46"/>
    <mergeCell ref="B47:J47"/>
    <mergeCell ref="M47:U47"/>
    <mergeCell ref="B49:B53"/>
    <mergeCell ref="B54:B58"/>
    <mergeCell ref="M49:M53"/>
    <mergeCell ref="M54:M58"/>
    <mergeCell ref="B31:U31"/>
    <mergeCell ref="B32:J32"/>
    <mergeCell ref="M32:U32"/>
    <mergeCell ref="B34:B38"/>
    <mergeCell ref="B39:B43"/>
    <mergeCell ref="M34:M38"/>
    <mergeCell ref="M39:M43"/>
    <mergeCell ref="B16:U16"/>
    <mergeCell ref="B17:J17"/>
    <mergeCell ref="M17:U17"/>
    <mergeCell ref="B19:B23"/>
    <mergeCell ref="B24:B28"/>
    <mergeCell ref="M19:M23"/>
    <mergeCell ref="M24:M28"/>
    <mergeCell ref="B1:U1"/>
    <mergeCell ref="B2:J2"/>
    <mergeCell ref="M2:U2"/>
    <mergeCell ref="B4:B8"/>
    <mergeCell ref="B9:B13"/>
    <mergeCell ref="M4:M8"/>
    <mergeCell ref="M9:M13"/>
  </mergeCell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1441-BD61-1349-832E-175BFD75E11B}">
  <dimension ref="A1:D41"/>
  <sheetViews>
    <sheetView workbookViewId="0">
      <selection sqref="A1:D1048576"/>
    </sheetView>
  </sheetViews>
  <sheetFormatPr baseColWidth="10" defaultColWidth="11.5" defaultRowHeight="15" x14ac:dyDescent="0.2"/>
  <sheetData>
    <row r="1" spans="1:4" x14ac:dyDescent="0.2">
      <c r="A1" s="14" t="str" cm="1">
        <f t="array" ref="A1:D41">_xlfn.SORTBY('Move-it-over-Spielplan'!X3:AA43,'Move-it-over-Spielplan'!Z3:Z43,-1,'Move-it-over-Spielplan'!AA3:AA43,-1)</f>
        <v>Klasse</v>
      </c>
      <c r="B1" s="14" t="str">
        <v>Gruppennummer</v>
      </c>
      <c r="C1" s="14" t="str">
        <v>Punkte</v>
      </c>
      <c r="D1" s="14" t="str">
        <v>Siege</v>
      </c>
    </row>
    <row r="2" spans="1:4" x14ac:dyDescent="0.2">
      <c r="A2" t="str">
        <v>2d</v>
      </c>
      <c r="B2">
        <v>32</v>
      </c>
      <c r="C2">
        <v>10</v>
      </c>
      <c r="D2">
        <v>1</v>
      </c>
    </row>
    <row r="3" spans="1:4" x14ac:dyDescent="0.2">
      <c r="A3" t="str">
        <v>2d</v>
      </c>
      <c r="B3">
        <v>36</v>
      </c>
      <c r="C3">
        <v>8</v>
      </c>
      <c r="D3">
        <v>1</v>
      </c>
    </row>
    <row r="4" spans="1:4" x14ac:dyDescent="0.2">
      <c r="A4" t="str">
        <v>2b</v>
      </c>
      <c r="B4">
        <v>75</v>
      </c>
      <c r="C4">
        <v>8</v>
      </c>
      <c r="D4">
        <v>1</v>
      </c>
    </row>
    <row r="5" spans="1:4" x14ac:dyDescent="0.2">
      <c r="A5" t="str">
        <v>2f</v>
      </c>
      <c r="B5">
        <v>83</v>
      </c>
      <c r="C5">
        <v>8</v>
      </c>
      <c r="D5">
        <v>1</v>
      </c>
    </row>
    <row r="6" spans="1:4" x14ac:dyDescent="0.2">
      <c r="A6" t="str">
        <v>2f</v>
      </c>
      <c r="B6">
        <v>84</v>
      </c>
      <c r="C6">
        <v>8</v>
      </c>
      <c r="D6">
        <v>1</v>
      </c>
    </row>
    <row r="7" spans="1:4" x14ac:dyDescent="0.2">
      <c r="A7" t="str">
        <v>2e</v>
      </c>
      <c r="B7">
        <v>20</v>
      </c>
      <c r="C7">
        <v>7</v>
      </c>
      <c r="D7">
        <v>1</v>
      </c>
    </row>
    <row r="8" spans="1:4" x14ac:dyDescent="0.2">
      <c r="A8" t="str">
        <v>2a</v>
      </c>
      <c r="B8">
        <v>51</v>
      </c>
      <c r="C8">
        <v>7</v>
      </c>
      <c r="D8">
        <v>1</v>
      </c>
    </row>
    <row r="9" spans="1:4" x14ac:dyDescent="0.2">
      <c r="A9" t="str">
        <v>2g</v>
      </c>
      <c r="B9">
        <v>62</v>
      </c>
      <c r="C9">
        <v>7</v>
      </c>
      <c r="D9">
        <v>1</v>
      </c>
    </row>
    <row r="10" spans="1:4" x14ac:dyDescent="0.2">
      <c r="A10" t="str">
        <v>2g</v>
      </c>
      <c r="B10">
        <v>63</v>
      </c>
      <c r="C10">
        <v>7</v>
      </c>
      <c r="D10">
        <v>1</v>
      </c>
    </row>
    <row r="11" spans="1:4" x14ac:dyDescent="0.2">
      <c r="A11" t="str">
        <v>2b</v>
      </c>
      <c r="B11">
        <v>74</v>
      </c>
      <c r="C11">
        <v>7</v>
      </c>
      <c r="D11">
        <v>1</v>
      </c>
    </row>
    <row r="12" spans="1:4" x14ac:dyDescent="0.2">
      <c r="A12" t="str">
        <v>2b</v>
      </c>
      <c r="B12">
        <v>77</v>
      </c>
      <c r="C12">
        <v>7</v>
      </c>
      <c r="D12">
        <v>1</v>
      </c>
    </row>
    <row r="13" spans="1:4" x14ac:dyDescent="0.2">
      <c r="A13" t="str">
        <v>2f</v>
      </c>
      <c r="B13">
        <v>86</v>
      </c>
      <c r="C13">
        <v>7</v>
      </c>
      <c r="D13">
        <v>1</v>
      </c>
    </row>
    <row r="14" spans="1:4" x14ac:dyDescent="0.2">
      <c r="A14" t="str">
        <v>2f</v>
      </c>
      <c r="B14">
        <v>93</v>
      </c>
      <c r="C14">
        <v>7</v>
      </c>
      <c r="D14">
        <v>1</v>
      </c>
    </row>
    <row r="15" spans="1:4" x14ac:dyDescent="0.2">
      <c r="A15" t="str">
        <v>2f</v>
      </c>
      <c r="B15">
        <v>94</v>
      </c>
      <c r="C15">
        <v>7</v>
      </c>
      <c r="D15">
        <v>1</v>
      </c>
    </row>
    <row r="16" spans="1:4" x14ac:dyDescent="0.2">
      <c r="A16" t="str">
        <v>2e</v>
      </c>
      <c r="B16">
        <v>22</v>
      </c>
      <c r="C16">
        <v>6</v>
      </c>
      <c r="D16">
        <v>1</v>
      </c>
    </row>
    <row r="17" spans="1:4" x14ac:dyDescent="0.2">
      <c r="A17" t="str">
        <v>2d</v>
      </c>
      <c r="B17">
        <v>31</v>
      </c>
      <c r="C17">
        <v>6</v>
      </c>
      <c r="D17">
        <v>1</v>
      </c>
    </row>
    <row r="18" spans="1:4" x14ac:dyDescent="0.2">
      <c r="A18" t="str">
        <v>2a</v>
      </c>
      <c r="B18">
        <v>57</v>
      </c>
      <c r="C18">
        <v>6</v>
      </c>
      <c r="D18">
        <v>1</v>
      </c>
    </row>
    <row r="19" spans="1:4" x14ac:dyDescent="0.2">
      <c r="A19" t="str">
        <v>2g</v>
      </c>
      <c r="B19">
        <v>71</v>
      </c>
      <c r="C19">
        <v>6</v>
      </c>
      <c r="D19">
        <v>1</v>
      </c>
    </row>
    <row r="20" spans="1:4" x14ac:dyDescent="0.2">
      <c r="A20" t="str">
        <v>2c</v>
      </c>
      <c r="B20">
        <v>1</v>
      </c>
      <c r="C20">
        <v>5</v>
      </c>
      <c r="D20">
        <v>0</v>
      </c>
    </row>
    <row r="21" spans="1:4" x14ac:dyDescent="0.2">
      <c r="A21" t="str">
        <v>2c</v>
      </c>
      <c r="B21">
        <v>11</v>
      </c>
      <c r="C21">
        <v>5</v>
      </c>
      <c r="D21">
        <v>0</v>
      </c>
    </row>
    <row r="22" spans="1:4" x14ac:dyDescent="0.2">
      <c r="A22" t="str">
        <v>2d</v>
      </c>
      <c r="B22">
        <v>29</v>
      </c>
      <c r="C22">
        <v>5</v>
      </c>
      <c r="D22">
        <v>0</v>
      </c>
    </row>
    <row r="23" spans="1:4" x14ac:dyDescent="0.2">
      <c r="A23" t="str">
        <v>2d</v>
      </c>
      <c r="B23">
        <v>35</v>
      </c>
      <c r="C23">
        <v>5</v>
      </c>
      <c r="D23">
        <v>0</v>
      </c>
    </row>
    <row r="24" spans="1:4" x14ac:dyDescent="0.2">
      <c r="A24" t="str">
        <v>2c</v>
      </c>
      <c r="B24">
        <v>3</v>
      </c>
      <c r="C24">
        <v>4</v>
      </c>
      <c r="D24">
        <v>0</v>
      </c>
    </row>
    <row r="25" spans="1:4" x14ac:dyDescent="0.2">
      <c r="A25" t="str">
        <v>2e</v>
      </c>
      <c r="B25">
        <v>23</v>
      </c>
      <c r="C25">
        <v>4</v>
      </c>
      <c r="D25">
        <v>0</v>
      </c>
    </row>
    <row r="26" spans="1:4" x14ac:dyDescent="0.2">
      <c r="A26" t="str">
        <v>2b</v>
      </c>
      <c r="B26">
        <v>82</v>
      </c>
      <c r="C26">
        <v>4</v>
      </c>
      <c r="D26">
        <v>0</v>
      </c>
    </row>
    <row r="27" spans="1:4" x14ac:dyDescent="0.2">
      <c r="A27" t="str">
        <v>2f</v>
      </c>
      <c r="B27">
        <v>92</v>
      </c>
      <c r="C27">
        <v>4</v>
      </c>
      <c r="D27">
        <v>0</v>
      </c>
    </row>
    <row r="28" spans="1:4" x14ac:dyDescent="0.2">
      <c r="A28" t="str">
        <v>2c</v>
      </c>
      <c r="B28">
        <v>8</v>
      </c>
      <c r="C28">
        <v>3</v>
      </c>
      <c r="D28">
        <v>0</v>
      </c>
    </row>
    <row r="29" spans="1:4" x14ac:dyDescent="0.2">
      <c r="A29" t="str">
        <v>2c</v>
      </c>
      <c r="B29">
        <v>10</v>
      </c>
      <c r="C29">
        <v>3</v>
      </c>
      <c r="D29">
        <v>0</v>
      </c>
    </row>
    <row r="30" spans="1:4" x14ac:dyDescent="0.2">
      <c r="A30" t="str">
        <v>2e</v>
      </c>
      <c r="B30">
        <v>17</v>
      </c>
      <c r="C30">
        <v>3</v>
      </c>
      <c r="D30">
        <v>0</v>
      </c>
    </row>
    <row r="31" spans="1:4" x14ac:dyDescent="0.2">
      <c r="A31" t="str">
        <v>2e</v>
      </c>
      <c r="B31">
        <v>18</v>
      </c>
      <c r="C31">
        <v>3</v>
      </c>
      <c r="D31">
        <v>0</v>
      </c>
    </row>
    <row r="32" spans="1:4" x14ac:dyDescent="0.2">
      <c r="A32" t="str">
        <v>2a</v>
      </c>
      <c r="B32">
        <v>53</v>
      </c>
      <c r="C32">
        <v>3</v>
      </c>
      <c r="D32">
        <v>0</v>
      </c>
    </row>
    <row r="33" spans="1:4" x14ac:dyDescent="0.2">
      <c r="A33" t="str">
        <v>2a</v>
      </c>
      <c r="B33">
        <v>59</v>
      </c>
      <c r="C33">
        <v>3</v>
      </c>
      <c r="D33">
        <v>0</v>
      </c>
    </row>
    <row r="34" spans="1:4" x14ac:dyDescent="0.2">
      <c r="A34" t="str">
        <v>2g</v>
      </c>
      <c r="B34">
        <v>66</v>
      </c>
      <c r="C34">
        <v>3</v>
      </c>
      <c r="D34">
        <v>0</v>
      </c>
    </row>
    <row r="35" spans="1:4" x14ac:dyDescent="0.2">
      <c r="A35" t="str">
        <v>2g</v>
      </c>
      <c r="B35">
        <v>69</v>
      </c>
      <c r="C35">
        <v>3</v>
      </c>
      <c r="D35">
        <v>0</v>
      </c>
    </row>
    <row r="36" spans="1:4" x14ac:dyDescent="0.2">
      <c r="A36" t="str">
        <v>2b</v>
      </c>
      <c r="B36">
        <v>80</v>
      </c>
      <c r="C36">
        <v>3</v>
      </c>
      <c r="D36">
        <v>0</v>
      </c>
    </row>
    <row r="37" spans="1:4" x14ac:dyDescent="0.2">
      <c r="A37" t="str">
        <v>2e</v>
      </c>
      <c r="B37">
        <v>15</v>
      </c>
      <c r="C37">
        <v>2</v>
      </c>
      <c r="D37">
        <v>0</v>
      </c>
    </row>
    <row r="38" spans="1:4" x14ac:dyDescent="0.2">
      <c r="A38" t="str">
        <v>2d</v>
      </c>
      <c r="B38">
        <v>26</v>
      </c>
      <c r="C38">
        <v>2</v>
      </c>
      <c r="D38">
        <v>0</v>
      </c>
    </row>
    <row r="39" spans="1:4" x14ac:dyDescent="0.2">
      <c r="A39" t="str">
        <v>2a</v>
      </c>
      <c r="B39">
        <v>55</v>
      </c>
      <c r="C39">
        <v>2</v>
      </c>
      <c r="D39">
        <v>0</v>
      </c>
    </row>
    <row r="40" spans="1:4" x14ac:dyDescent="0.2">
      <c r="A40" t="str">
        <v>2g</v>
      </c>
      <c r="B40">
        <v>68</v>
      </c>
      <c r="C40">
        <v>2</v>
      </c>
      <c r="D40">
        <v>0</v>
      </c>
    </row>
    <row r="41" spans="1:4" x14ac:dyDescent="0.2">
      <c r="A41" t="str">
        <v>2c</v>
      </c>
      <c r="B41">
        <v>6</v>
      </c>
      <c r="C41">
        <v>0</v>
      </c>
      <c r="D4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5130-A9A4-3D41-9E23-ABC295084148}">
  <dimension ref="A1:Z101"/>
  <sheetViews>
    <sheetView topLeftCell="F1" zoomScale="93" workbookViewId="0">
      <selection activeCell="Q9" sqref="Q9"/>
    </sheetView>
  </sheetViews>
  <sheetFormatPr baseColWidth="10" defaultColWidth="10.83203125" defaultRowHeight="15" x14ac:dyDescent="0.2"/>
  <cols>
    <col min="1" max="1" width="10.83203125" customWidth="1"/>
    <col min="2" max="2" width="15.83203125" customWidth="1"/>
    <col min="3" max="3" width="10.83203125" customWidth="1"/>
    <col min="13" max="13" width="15.83203125" customWidth="1"/>
    <col min="24" max="24" width="16" customWidth="1"/>
  </cols>
  <sheetData>
    <row r="1" spans="1:26" ht="27" x14ac:dyDescent="0.35">
      <c r="B1" s="26" t="s">
        <v>28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4"/>
    </row>
    <row r="2" spans="1:26" ht="22" x14ac:dyDescent="0.2">
      <c r="B2" s="27" t="s">
        <v>29</v>
      </c>
      <c r="C2" s="27"/>
      <c r="D2" s="27"/>
      <c r="E2" s="27"/>
      <c r="F2" s="27"/>
      <c r="G2" s="27"/>
      <c r="H2" s="27"/>
      <c r="I2" s="27"/>
      <c r="J2" s="27"/>
      <c r="K2" s="8"/>
      <c r="L2" s="9"/>
      <c r="M2" s="27" t="s">
        <v>30</v>
      </c>
      <c r="N2" s="27"/>
      <c r="O2" s="27"/>
      <c r="P2" s="27"/>
      <c r="Q2" s="27"/>
      <c r="R2" s="27"/>
      <c r="S2" s="27"/>
      <c r="T2" s="27"/>
      <c r="U2" s="27"/>
      <c r="V2" s="10"/>
    </row>
    <row r="3" spans="1:26" x14ac:dyDescent="0.2">
      <c r="A3" s="1"/>
      <c r="B3" s="11" t="s">
        <v>27</v>
      </c>
      <c r="C3" s="11" t="s">
        <v>2</v>
      </c>
      <c r="D3" s="11" t="s">
        <v>123</v>
      </c>
      <c r="E3" s="11" t="s">
        <v>127</v>
      </c>
      <c r="F3" s="11" t="s">
        <v>124</v>
      </c>
      <c r="G3" s="11" t="s">
        <v>125</v>
      </c>
      <c r="H3" s="11" t="s">
        <v>128</v>
      </c>
      <c r="I3" s="11" t="s">
        <v>126</v>
      </c>
      <c r="J3" s="11" t="s">
        <v>2</v>
      </c>
      <c r="K3" s="7"/>
      <c r="L3" s="7"/>
      <c r="M3" s="11" t="s">
        <v>27</v>
      </c>
      <c r="N3" s="11" t="s">
        <v>2</v>
      </c>
      <c r="O3" s="11" t="s">
        <v>123</v>
      </c>
      <c r="P3" s="11" t="s">
        <v>127</v>
      </c>
      <c r="Q3" s="11" t="s">
        <v>124</v>
      </c>
      <c r="R3" s="11" t="s">
        <v>125</v>
      </c>
      <c r="S3" s="11" t="s">
        <v>128</v>
      </c>
      <c r="T3" s="11" t="s">
        <v>126</v>
      </c>
      <c r="U3" s="11" t="s">
        <v>2</v>
      </c>
      <c r="V3" s="5"/>
      <c r="W3" s="14" t="s">
        <v>2</v>
      </c>
      <c r="X3" s="14" t="s">
        <v>0</v>
      </c>
      <c r="Y3" s="14" t="s">
        <v>129</v>
      </c>
      <c r="Z3" s="14" t="s">
        <v>130</v>
      </c>
    </row>
    <row r="4" spans="1:26" ht="22" x14ac:dyDescent="0.2">
      <c r="A4" s="1"/>
      <c r="B4" s="28" t="s">
        <v>109</v>
      </c>
      <c r="C4" s="17" t="s">
        <v>20</v>
      </c>
      <c r="D4" s="17">
        <v>34</v>
      </c>
      <c r="E4" s="16">
        <f>IF(F4&gt;G4,3,IF(F4=G4,1,0))</f>
        <v>1</v>
      </c>
      <c r="F4" s="16">
        <v>10</v>
      </c>
      <c r="G4" s="16">
        <v>10</v>
      </c>
      <c r="H4" s="16">
        <f>IF(G4&gt;F4,3,IF(F4=G4,1,0))</f>
        <v>1</v>
      </c>
      <c r="I4" s="17">
        <v>56</v>
      </c>
      <c r="J4" s="17" t="s">
        <v>17</v>
      </c>
      <c r="K4" s="7"/>
      <c r="L4" s="13"/>
      <c r="M4" s="28" t="s">
        <v>109</v>
      </c>
      <c r="N4" s="17" t="s">
        <v>14</v>
      </c>
      <c r="O4" s="17">
        <v>7</v>
      </c>
      <c r="P4" s="16">
        <f>IF(Q4&gt;R4,3,IF(Q4=R4,1,0))</f>
        <v>0</v>
      </c>
      <c r="Q4" s="16">
        <v>3</v>
      </c>
      <c r="R4" s="32">
        <v>23</v>
      </c>
      <c r="S4" s="16">
        <f>IF(R4&gt;Q4,3,IF(Q4=R4,1,0))</f>
        <v>3</v>
      </c>
      <c r="T4" s="17">
        <v>65</v>
      </c>
      <c r="U4" s="17" t="s">
        <v>4</v>
      </c>
      <c r="W4" t="s">
        <v>14</v>
      </c>
      <c r="X4" s="1">
        <v>2</v>
      </c>
      <c r="Y4">
        <f>SUMIF(D$4:D$88,X4,E$4:E$88)+SUMIF(I$4:I$88,X4,H$4:H$88)+SUMIF(O$4:O$88,X4,P$4:P$88)+SUMIF(T$4:T$88,X4,S$4:S$88)</f>
        <v>5</v>
      </c>
      <c r="Z4">
        <f>SUMIF(D$4:D$88,X4,F$4:F$88)+SUMIF(I$4:I$88,X4,G$4:G$88)+SUMIF(O$4:O$88,X4,Q$4:Q$88)+SUMIF(T$4:T$88,X4,R$4:R$88)</f>
        <v>6</v>
      </c>
    </row>
    <row r="5" spans="1:26" ht="22" x14ac:dyDescent="0.2">
      <c r="A5" s="1"/>
      <c r="B5" s="28"/>
      <c r="C5" s="17" t="s">
        <v>13</v>
      </c>
      <c r="D5" s="17">
        <v>90</v>
      </c>
      <c r="E5" s="16">
        <f t="shared" ref="E5:E13" si="0">IF(F5&gt;G5,3,IF(F5=G5,1,0))</f>
        <v>0</v>
      </c>
      <c r="F5" s="16">
        <v>0</v>
      </c>
      <c r="G5" s="16">
        <v>10</v>
      </c>
      <c r="H5" s="16">
        <f t="shared" ref="H5:H13" si="1">IF(G5&gt;F5,3,IF(F5=G5,1,0))</f>
        <v>3</v>
      </c>
      <c r="I5" s="17">
        <v>81</v>
      </c>
      <c r="J5" s="17" t="s">
        <v>5</v>
      </c>
      <c r="K5" s="7"/>
      <c r="L5" s="13"/>
      <c r="M5" s="28"/>
      <c r="N5" s="17" t="s">
        <v>15</v>
      </c>
      <c r="O5" s="17">
        <v>24</v>
      </c>
      <c r="P5" s="16">
        <f t="shared" ref="P5:P6" si="2">IF(Q5&gt;R5,3,IF(Q5=R5,1,0))</f>
        <v>0</v>
      </c>
      <c r="Q5" s="16">
        <v>6</v>
      </c>
      <c r="R5" s="32">
        <v>25</v>
      </c>
      <c r="S5" s="16">
        <f t="shared" ref="S5:S10" si="3">IF(R5&gt;Q5,3,IF(Q5=R5,1,0))</f>
        <v>3</v>
      </c>
      <c r="T5" s="17">
        <v>91</v>
      </c>
      <c r="U5" s="17" t="s">
        <v>13</v>
      </c>
      <c r="W5" t="s">
        <v>14</v>
      </c>
      <c r="X5" s="1">
        <v>4</v>
      </c>
      <c r="Y5">
        <f t="shared" ref="Y5:Y43" si="4">SUMIF(D$4:D$88,X5,E$4:E$88)+SUMIF(I$4:I$88,X5,H$4:H$88)+SUMIF(O$4:O$88,X5,P$4:P$88)+SUMIF(T$4:T$88,X5,S$4:S$88)</f>
        <v>5</v>
      </c>
      <c r="Z5">
        <f t="shared" ref="Z5:Z43" si="5">SUMIF(D$4:D$88,X5,F$4:F$88)+SUMIF(I$4:I$88,X5,G$4:G$88)+SUMIF(O$4:O$88,X5,Q$4:Q$88)+SUMIF(T$4:T$88,X5,R$4:R$88)</f>
        <v>1</v>
      </c>
    </row>
    <row r="6" spans="1:26" ht="22" x14ac:dyDescent="0.2">
      <c r="A6" s="1"/>
      <c r="B6" s="28"/>
      <c r="C6" s="17" t="s">
        <v>14</v>
      </c>
      <c r="D6" s="17">
        <v>9</v>
      </c>
      <c r="E6" s="16">
        <f t="shared" si="0"/>
        <v>3</v>
      </c>
      <c r="F6" s="16">
        <v>5</v>
      </c>
      <c r="G6" s="16">
        <v>3</v>
      </c>
      <c r="H6" s="16">
        <f t="shared" si="1"/>
        <v>0</v>
      </c>
      <c r="I6" s="17">
        <v>61</v>
      </c>
      <c r="J6" s="17" t="s">
        <v>4</v>
      </c>
      <c r="K6" s="7"/>
      <c r="L6" s="13"/>
      <c r="M6" s="28"/>
      <c r="N6" s="17" t="s">
        <v>17</v>
      </c>
      <c r="O6" s="17">
        <v>50</v>
      </c>
      <c r="P6" s="16">
        <f t="shared" si="2"/>
        <v>1</v>
      </c>
      <c r="Q6" s="16">
        <v>0</v>
      </c>
      <c r="R6" s="32">
        <v>0</v>
      </c>
      <c r="S6" s="16">
        <f t="shared" si="3"/>
        <v>1</v>
      </c>
      <c r="T6" s="17">
        <v>27</v>
      </c>
      <c r="U6" s="17" t="s">
        <v>20</v>
      </c>
      <c r="W6" t="s">
        <v>14</v>
      </c>
      <c r="X6" s="1">
        <v>5</v>
      </c>
      <c r="Y6">
        <f t="shared" si="4"/>
        <v>8</v>
      </c>
      <c r="Z6">
        <f t="shared" si="5"/>
        <v>18</v>
      </c>
    </row>
    <row r="7" spans="1:26" ht="22" x14ac:dyDescent="0.2">
      <c r="A7" s="1"/>
      <c r="B7" s="28"/>
      <c r="C7" s="17" t="s">
        <v>14</v>
      </c>
      <c r="D7" s="17">
        <v>12</v>
      </c>
      <c r="E7" s="16">
        <f t="shared" si="0"/>
        <v>3</v>
      </c>
      <c r="F7" s="16">
        <v>35</v>
      </c>
      <c r="G7" s="16">
        <v>0</v>
      </c>
      <c r="H7" s="16">
        <f t="shared" si="1"/>
        <v>0</v>
      </c>
      <c r="I7" s="17">
        <v>25</v>
      </c>
      <c r="J7" s="17" t="s">
        <v>15</v>
      </c>
      <c r="K7" s="7"/>
      <c r="L7" s="13"/>
      <c r="M7" s="28"/>
      <c r="N7" s="17" t="s">
        <v>5</v>
      </c>
      <c r="O7" s="17">
        <v>78</v>
      </c>
      <c r="P7" s="16">
        <f>IF(Q7&gt;R7,3,IF(Q7=R7,1,0))</f>
        <v>1</v>
      </c>
      <c r="Q7" s="16">
        <v>0</v>
      </c>
      <c r="R7" s="32">
        <v>0</v>
      </c>
      <c r="S7" s="16">
        <f>IF(R7&gt;Q7,3,IF(Q7=R7,1,0))</f>
        <v>1</v>
      </c>
      <c r="T7" s="17">
        <v>87</v>
      </c>
      <c r="U7" s="17" t="s">
        <v>13</v>
      </c>
      <c r="W7" t="s">
        <v>14</v>
      </c>
      <c r="X7" s="1">
        <v>7</v>
      </c>
      <c r="Y7">
        <f t="shared" si="4"/>
        <v>5</v>
      </c>
      <c r="Z7">
        <f t="shared" si="5"/>
        <v>3</v>
      </c>
    </row>
    <row r="8" spans="1:26" ht="23" thickBot="1" x14ac:dyDescent="0.25">
      <c r="A8" s="1"/>
      <c r="B8" s="29"/>
      <c r="C8" s="21" t="s">
        <v>20</v>
      </c>
      <c r="D8" s="22">
        <v>33</v>
      </c>
      <c r="E8" s="25">
        <f>IF(F8&gt;G8,3,IF(F8=G8,1,0))</f>
        <v>3</v>
      </c>
      <c r="F8" s="20">
        <v>21</v>
      </c>
      <c r="G8" s="20">
        <v>20</v>
      </c>
      <c r="H8" s="25">
        <f t="shared" si="1"/>
        <v>0</v>
      </c>
      <c r="I8" s="21">
        <v>58</v>
      </c>
      <c r="J8" s="21" t="s">
        <v>17</v>
      </c>
      <c r="K8" s="7"/>
      <c r="L8" s="13"/>
      <c r="M8" s="29"/>
      <c r="N8" s="21" t="s">
        <v>14</v>
      </c>
      <c r="O8" s="21">
        <v>2</v>
      </c>
      <c r="P8" s="25">
        <f>IF(Q8&gt;R8,3,IF(Q8=R8,1,0))</f>
        <v>0</v>
      </c>
      <c r="Q8" s="20">
        <v>6</v>
      </c>
      <c r="R8" s="33">
        <v>30</v>
      </c>
      <c r="S8" s="25">
        <f t="shared" si="3"/>
        <v>3</v>
      </c>
      <c r="T8" s="21">
        <v>72</v>
      </c>
      <c r="U8" s="21" t="s">
        <v>4</v>
      </c>
      <c r="W8" t="s">
        <v>14</v>
      </c>
      <c r="X8" s="1">
        <v>9</v>
      </c>
      <c r="Y8">
        <f t="shared" si="4"/>
        <v>8</v>
      </c>
      <c r="Z8">
        <f t="shared" si="5"/>
        <v>5</v>
      </c>
    </row>
    <row r="9" spans="1:26" ht="22" x14ac:dyDescent="0.2">
      <c r="A9" s="1"/>
      <c r="B9" s="30" t="s">
        <v>110</v>
      </c>
      <c r="C9" s="19" t="s">
        <v>5</v>
      </c>
      <c r="D9" s="19">
        <v>76</v>
      </c>
      <c r="E9" s="15">
        <f t="shared" si="0"/>
        <v>0</v>
      </c>
      <c r="F9" s="15">
        <v>0</v>
      </c>
      <c r="G9" s="15">
        <v>10</v>
      </c>
      <c r="H9" s="15">
        <f t="shared" si="1"/>
        <v>3</v>
      </c>
      <c r="I9" s="19">
        <v>85</v>
      </c>
      <c r="J9" s="19" t="s">
        <v>13</v>
      </c>
      <c r="K9" s="7"/>
      <c r="L9" s="13"/>
      <c r="M9" s="30" t="s">
        <v>110</v>
      </c>
      <c r="N9" s="19" t="s">
        <v>15</v>
      </c>
      <c r="O9" s="19">
        <v>14</v>
      </c>
      <c r="P9" s="15">
        <f t="shared" ref="P9:P13" si="6">IF(Q9&gt;R9,3,IF(Q9=R9,1,0))</f>
        <v>0</v>
      </c>
      <c r="Q9" s="15">
        <v>3</v>
      </c>
      <c r="R9" s="34">
        <v>35</v>
      </c>
      <c r="S9" s="15">
        <f t="shared" si="3"/>
        <v>3</v>
      </c>
      <c r="T9" s="19">
        <v>64</v>
      </c>
      <c r="U9" s="19" t="s">
        <v>4</v>
      </c>
      <c r="W9" t="s">
        <v>14</v>
      </c>
      <c r="X9" s="1">
        <v>12</v>
      </c>
      <c r="Y9">
        <f t="shared" si="4"/>
        <v>8</v>
      </c>
      <c r="Z9">
        <f t="shared" si="5"/>
        <v>35</v>
      </c>
    </row>
    <row r="10" spans="1:26" ht="22" x14ac:dyDescent="0.2">
      <c r="B10" s="31"/>
      <c r="C10" s="17" t="s">
        <v>14</v>
      </c>
      <c r="D10" s="17">
        <v>5</v>
      </c>
      <c r="E10" s="16">
        <f t="shared" si="0"/>
        <v>3</v>
      </c>
      <c r="F10" s="16">
        <v>18</v>
      </c>
      <c r="G10" s="16">
        <v>1</v>
      </c>
      <c r="H10" s="16">
        <f t="shared" si="1"/>
        <v>0</v>
      </c>
      <c r="I10" s="17">
        <v>70</v>
      </c>
      <c r="J10" s="17" t="s">
        <v>4</v>
      </c>
      <c r="K10" s="7"/>
      <c r="L10" s="13"/>
      <c r="M10" s="31"/>
      <c r="N10" s="17" t="s">
        <v>17</v>
      </c>
      <c r="O10" s="17">
        <v>52</v>
      </c>
      <c r="P10" s="16">
        <f t="shared" si="6"/>
        <v>0</v>
      </c>
      <c r="Q10" s="16">
        <v>0</v>
      </c>
      <c r="R10" s="32">
        <v>10</v>
      </c>
      <c r="S10" s="16">
        <f t="shared" si="3"/>
        <v>3</v>
      </c>
      <c r="T10" s="17">
        <v>37</v>
      </c>
      <c r="U10" s="17" t="s">
        <v>20</v>
      </c>
      <c r="W10" t="s">
        <v>15</v>
      </c>
      <c r="X10" s="1">
        <v>14</v>
      </c>
      <c r="Y10">
        <f t="shared" si="4"/>
        <v>5</v>
      </c>
      <c r="Z10">
        <f t="shared" si="5"/>
        <v>3</v>
      </c>
    </row>
    <row r="11" spans="1:26" ht="22" x14ac:dyDescent="0.2">
      <c r="B11" s="31"/>
      <c r="C11" s="17" t="s">
        <v>15</v>
      </c>
      <c r="D11" s="17">
        <v>16</v>
      </c>
      <c r="E11" s="16">
        <f t="shared" si="0"/>
        <v>0</v>
      </c>
      <c r="F11" s="16">
        <v>0</v>
      </c>
      <c r="G11" s="16">
        <v>23</v>
      </c>
      <c r="H11" s="16">
        <f>IF(G11&gt;F11,3,IF(F11=G11,1,0))</f>
        <v>3</v>
      </c>
      <c r="I11" s="17">
        <v>30</v>
      </c>
      <c r="J11" s="17" t="s">
        <v>20</v>
      </c>
      <c r="K11" s="7"/>
      <c r="L11" s="13"/>
      <c r="M11" s="31"/>
      <c r="N11" s="17" t="s">
        <v>13</v>
      </c>
      <c r="O11" s="17">
        <v>88</v>
      </c>
      <c r="P11" s="16">
        <f t="shared" si="6"/>
        <v>0</v>
      </c>
      <c r="Q11" s="16">
        <v>24</v>
      </c>
      <c r="R11" s="32">
        <v>31</v>
      </c>
      <c r="S11" s="16">
        <f>IF(R11&gt;Q11,3,IF(Q11=R11,1,0))</f>
        <v>3</v>
      </c>
      <c r="T11" s="17">
        <v>73</v>
      </c>
      <c r="U11" s="17" t="s">
        <v>5</v>
      </c>
      <c r="W11" t="s">
        <v>15</v>
      </c>
      <c r="X11" s="1">
        <v>16</v>
      </c>
      <c r="Y11">
        <f t="shared" si="4"/>
        <v>5</v>
      </c>
      <c r="Z11">
        <f t="shared" si="5"/>
        <v>0</v>
      </c>
    </row>
    <row r="12" spans="1:26" ht="22" x14ac:dyDescent="0.2">
      <c r="B12" s="31"/>
      <c r="C12" s="17" t="s">
        <v>17</v>
      </c>
      <c r="D12" s="17">
        <v>54</v>
      </c>
      <c r="E12" s="16">
        <f t="shared" si="0"/>
        <v>3</v>
      </c>
      <c r="F12" s="16">
        <v>15</v>
      </c>
      <c r="G12" s="16">
        <v>12</v>
      </c>
      <c r="H12" s="16">
        <f t="shared" si="1"/>
        <v>0</v>
      </c>
      <c r="I12" s="17">
        <v>28</v>
      </c>
      <c r="J12" s="17" t="s">
        <v>20</v>
      </c>
      <c r="K12" s="7"/>
      <c r="L12" s="13"/>
      <c r="M12" s="31"/>
      <c r="N12" s="17" t="s">
        <v>14</v>
      </c>
      <c r="O12" s="17">
        <v>4</v>
      </c>
      <c r="P12" s="16">
        <f t="shared" si="6"/>
        <v>0</v>
      </c>
      <c r="Q12" s="16">
        <v>1</v>
      </c>
      <c r="R12" s="32">
        <v>13</v>
      </c>
      <c r="S12" s="16">
        <f t="shared" ref="S12:S13" si="7">IF(R12&gt;Q12,3,IF(Q12=R12,1,0))</f>
        <v>3</v>
      </c>
      <c r="T12" s="17">
        <v>19</v>
      </c>
      <c r="U12" s="17" t="s">
        <v>15</v>
      </c>
      <c r="W12" t="s">
        <v>15</v>
      </c>
      <c r="X12" s="1">
        <v>21</v>
      </c>
      <c r="Y12">
        <f t="shared" si="4"/>
        <v>8</v>
      </c>
      <c r="Z12">
        <f t="shared" si="5"/>
        <v>8</v>
      </c>
    </row>
    <row r="13" spans="1:26" ht="22" x14ac:dyDescent="0.2">
      <c r="B13" s="31"/>
      <c r="C13" s="17" t="s">
        <v>5</v>
      </c>
      <c r="D13" s="17">
        <v>79</v>
      </c>
      <c r="E13" s="16">
        <f t="shared" si="0"/>
        <v>0</v>
      </c>
      <c r="F13" s="16">
        <v>0</v>
      </c>
      <c r="G13" s="16">
        <v>21</v>
      </c>
      <c r="H13" s="16">
        <f t="shared" si="1"/>
        <v>3</v>
      </c>
      <c r="I13" s="17">
        <v>89</v>
      </c>
      <c r="J13" s="17" t="s">
        <v>13</v>
      </c>
      <c r="K13" s="7"/>
      <c r="L13" s="13"/>
      <c r="M13" s="31"/>
      <c r="N13" s="17" t="s">
        <v>15</v>
      </c>
      <c r="O13" s="17">
        <v>21</v>
      </c>
      <c r="P13" s="16">
        <f t="shared" si="6"/>
        <v>3</v>
      </c>
      <c r="Q13" s="16">
        <v>8</v>
      </c>
      <c r="R13" s="32">
        <v>5</v>
      </c>
      <c r="S13" s="16">
        <f t="shared" si="7"/>
        <v>0</v>
      </c>
      <c r="T13" s="17">
        <v>67</v>
      </c>
      <c r="U13" s="17" t="s">
        <v>4</v>
      </c>
      <c r="W13" t="s">
        <v>15</v>
      </c>
      <c r="X13" s="1">
        <v>19</v>
      </c>
      <c r="Y13">
        <f t="shared" si="4"/>
        <v>8</v>
      </c>
      <c r="Z13">
        <f t="shared" si="5"/>
        <v>13</v>
      </c>
    </row>
    <row r="14" spans="1:26" x14ac:dyDescent="0.2">
      <c r="B14" s="6"/>
      <c r="C14" s="6"/>
      <c r="D14" s="5"/>
      <c r="E14" s="5"/>
      <c r="F14" s="5"/>
      <c r="G14" s="5"/>
      <c r="H14" s="5"/>
      <c r="I14" s="5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t="s">
        <v>15</v>
      </c>
      <c r="X14" s="1">
        <v>24</v>
      </c>
      <c r="Y14">
        <f t="shared" si="4"/>
        <v>5</v>
      </c>
      <c r="Z14">
        <f t="shared" si="5"/>
        <v>6</v>
      </c>
    </row>
    <row r="15" spans="1:26" x14ac:dyDescent="0.2">
      <c r="B15" s="6"/>
      <c r="C15" s="6"/>
      <c r="D15" s="5"/>
      <c r="E15" s="5"/>
      <c r="F15" s="5"/>
      <c r="G15" s="5"/>
      <c r="H15" s="5"/>
      <c r="I15" s="5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t="s">
        <v>15</v>
      </c>
      <c r="X15" s="1">
        <v>25</v>
      </c>
      <c r="Y15">
        <f t="shared" si="4"/>
        <v>5</v>
      </c>
      <c r="Z15">
        <f t="shared" si="5"/>
        <v>0</v>
      </c>
    </row>
    <row r="16" spans="1:26" ht="27" x14ac:dyDescent="0.35">
      <c r="B16" s="26" t="s">
        <v>36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5"/>
      <c r="W16" t="s">
        <v>20</v>
      </c>
      <c r="X16" s="1">
        <v>27</v>
      </c>
      <c r="Y16">
        <f t="shared" si="4"/>
        <v>6</v>
      </c>
      <c r="Z16">
        <f t="shared" si="5"/>
        <v>0</v>
      </c>
    </row>
    <row r="17" spans="1:26" ht="22" x14ac:dyDescent="0.2">
      <c r="B17" s="27" t="s">
        <v>29</v>
      </c>
      <c r="C17" s="27"/>
      <c r="D17" s="27"/>
      <c r="E17" s="27"/>
      <c r="F17" s="27"/>
      <c r="G17" s="27"/>
      <c r="H17" s="27"/>
      <c r="I17" s="27"/>
      <c r="J17" s="27"/>
      <c r="K17" s="8"/>
      <c r="L17" s="9"/>
      <c r="M17" s="27" t="s">
        <v>30</v>
      </c>
      <c r="N17" s="27"/>
      <c r="O17" s="27"/>
      <c r="P17" s="27"/>
      <c r="Q17" s="27"/>
      <c r="R17" s="27"/>
      <c r="S17" s="27"/>
      <c r="T17" s="27"/>
      <c r="U17" s="27"/>
      <c r="V17" s="10"/>
      <c r="W17" t="s">
        <v>20</v>
      </c>
      <c r="X17" s="1">
        <v>28</v>
      </c>
      <c r="Y17">
        <f t="shared" si="4"/>
        <v>5</v>
      </c>
      <c r="Z17">
        <f t="shared" si="5"/>
        <v>12</v>
      </c>
    </row>
    <row r="18" spans="1:26" x14ac:dyDescent="0.2">
      <c r="A18" s="1"/>
      <c r="B18" s="11" t="s">
        <v>31</v>
      </c>
      <c r="C18" s="11" t="s">
        <v>2</v>
      </c>
      <c r="D18" s="11" t="s">
        <v>123</v>
      </c>
      <c r="E18" s="11" t="s">
        <v>127</v>
      </c>
      <c r="F18" s="11" t="s">
        <v>124</v>
      </c>
      <c r="G18" s="11" t="s">
        <v>125</v>
      </c>
      <c r="H18" s="11" t="s">
        <v>128</v>
      </c>
      <c r="I18" s="11" t="s">
        <v>126</v>
      </c>
      <c r="J18" s="11" t="s">
        <v>2</v>
      </c>
      <c r="K18" s="7"/>
      <c r="L18" s="7"/>
      <c r="M18" s="11" t="s">
        <v>31</v>
      </c>
      <c r="N18" s="11" t="s">
        <v>2</v>
      </c>
      <c r="O18" s="11" t="s">
        <v>123</v>
      </c>
      <c r="P18" s="11" t="s">
        <v>127</v>
      </c>
      <c r="Q18" s="11" t="s">
        <v>124</v>
      </c>
      <c r="R18" s="11" t="s">
        <v>125</v>
      </c>
      <c r="S18" s="11" t="s">
        <v>128</v>
      </c>
      <c r="T18" s="11" t="s">
        <v>126</v>
      </c>
      <c r="U18" s="11" t="s">
        <v>2</v>
      </c>
      <c r="V18" s="5"/>
      <c r="W18" t="s">
        <v>20</v>
      </c>
      <c r="X18" s="1">
        <v>30</v>
      </c>
      <c r="Y18">
        <f t="shared" si="4"/>
        <v>8</v>
      </c>
      <c r="Z18">
        <f t="shared" si="5"/>
        <v>23</v>
      </c>
    </row>
    <row r="19" spans="1:26" ht="22" customHeight="1" x14ac:dyDescent="0.2">
      <c r="A19" s="1"/>
      <c r="B19" s="28" t="s">
        <v>111</v>
      </c>
      <c r="C19" s="17" t="s">
        <v>15</v>
      </c>
      <c r="D19" s="17">
        <v>25</v>
      </c>
      <c r="E19" s="16">
        <f>IF(F19&gt;G19,3,IF(F19=G19,1,0))</f>
        <v>1</v>
      </c>
      <c r="F19" s="16"/>
      <c r="G19" s="16"/>
      <c r="H19" s="16">
        <f>IF(G19&gt;F19,3,IF(F19=G19,1,0))</f>
        <v>1</v>
      </c>
      <c r="I19" s="17">
        <v>58</v>
      </c>
      <c r="J19" s="17" t="s">
        <v>17</v>
      </c>
      <c r="K19" s="7"/>
      <c r="L19" s="13"/>
      <c r="M19" s="28" t="s">
        <v>111</v>
      </c>
      <c r="N19" s="17" t="s">
        <v>4</v>
      </c>
      <c r="O19" s="17">
        <v>64</v>
      </c>
      <c r="P19" s="16">
        <f>IF(Q19&gt;R19,3,IF(Q19=R19,1,0))</f>
        <v>1</v>
      </c>
      <c r="Q19" s="16"/>
      <c r="R19" s="16"/>
      <c r="S19" s="16">
        <f>IF(R19&gt;Q19,3,IF(Q19=R19,1,0))</f>
        <v>1</v>
      </c>
      <c r="T19" s="18">
        <v>34</v>
      </c>
      <c r="U19" s="17" t="s">
        <v>20</v>
      </c>
      <c r="W19" t="s">
        <v>20</v>
      </c>
      <c r="X19" s="1">
        <v>33</v>
      </c>
      <c r="Y19">
        <f t="shared" si="4"/>
        <v>8</v>
      </c>
      <c r="Z19">
        <f t="shared" si="5"/>
        <v>21</v>
      </c>
    </row>
    <row r="20" spans="1:26" ht="22" x14ac:dyDescent="0.2">
      <c r="A20" s="1"/>
      <c r="B20" s="28"/>
      <c r="C20" s="17" t="s">
        <v>14</v>
      </c>
      <c r="D20" s="17">
        <v>7</v>
      </c>
      <c r="E20" s="16">
        <f t="shared" ref="E20:E21" si="8">IF(F20&gt;G20,3,IF(F20=G20,1,0))</f>
        <v>1</v>
      </c>
      <c r="F20" s="16"/>
      <c r="G20" s="16"/>
      <c r="H20" s="16">
        <f t="shared" ref="H20:H25" si="9">IF(G20&gt;F20,3,IF(F20=G20,1,0))</f>
        <v>1</v>
      </c>
      <c r="I20" s="17">
        <v>79</v>
      </c>
      <c r="J20" s="17" t="s">
        <v>5</v>
      </c>
      <c r="K20" s="7"/>
      <c r="L20" s="13"/>
      <c r="M20" s="28"/>
      <c r="N20" s="17" t="s">
        <v>13</v>
      </c>
      <c r="O20" s="17">
        <v>88</v>
      </c>
      <c r="P20" s="16">
        <f t="shared" ref="P20:P21" si="10">IF(Q20&gt;R20,3,IF(Q20=R20,1,0))</f>
        <v>1</v>
      </c>
      <c r="Q20" s="16"/>
      <c r="R20" s="16"/>
      <c r="S20" s="16">
        <f t="shared" ref="S20:S21" si="11">IF(R20&gt;Q20,3,IF(Q20=R20,1,0))</f>
        <v>1</v>
      </c>
      <c r="T20" s="17">
        <v>16</v>
      </c>
      <c r="U20" s="17" t="s">
        <v>15</v>
      </c>
      <c r="W20" t="s">
        <v>20</v>
      </c>
      <c r="X20" s="1">
        <v>34</v>
      </c>
      <c r="Y20">
        <f t="shared" si="4"/>
        <v>6</v>
      </c>
      <c r="Z20">
        <f t="shared" si="5"/>
        <v>10</v>
      </c>
    </row>
    <row r="21" spans="1:26" ht="22" customHeight="1" x14ac:dyDescent="0.2">
      <c r="A21" s="1"/>
      <c r="B21" s="28"/>
      <c r="C21" s="17" t="s">
        <v>4</v>
      </c>
      <c r="D21" s="18">
        <v>67</v>
      </c>
      <c r="E21" s="16">
        <f t="shared" si="8"/>
        <v>1</v>
      </c>
      <c r="F21" s="16"/>
      <c r="G21" s="16"/>
      <c r="H21" s="16">
        <f t="shared" si="9"/>
        <v>1</v>
      </c>
      <c r="I21" s="17">
        <v>27</v>
      </c>
      <c r="J21" s="17" t="s">
        <v>20</v>
      </c>
      <c r="K21" s="7"/>
      <c r="L21" s="13"/>
      <c r="M21" s="28"/>
      <c r="N21" s="17" t="s">
        <v>17</v>
      </c>
      <c r="O21" s="17">
        <v>56</v>
      </c>
      <c r="P21" s="16">
        <f t="shared" si="10"/>
        <v>1</v>
      </c>
      <c r="Q21" s="16"/>
      <c r="R21" s="16"/>
      <c r="S21" s="16">
        <f t="shared" si="11"/>
        <v>1</v>
      </c>
      <c r="T21" s="17">
        <v>24</v>
      </c>
      <c r="U21" s="17" t="s">
        <v>15</v>
      </c>
      <c r="W21" t="s">
        <v>20</v>
      </c>
      <c r="X21" s="1">
        <v>37</v>
      </c>
      <c r="Y21">
        <f t="shared" si="4"/>
        <v>8</v>
      </c>
      <c r="Z21">
        <f t="shared" si="5"/>
        <v>10</v>
      </c>
    </row>
    <row r="22" spans="1:26" ht="22" x14ac:dyDescent="0.2">
      <c r="A22" s="1"/>
      <c r="B22" s="28"/>
      <c r="C22" s="17" t="s">
        <v>13</v>
      </c>
      <c r="D22" s="17">
        <v>89</v>
      </c>
      <c r="E22" s="16">
        <f>IF(F22&gt;G22,3,IF(F22=G22,1,0))</f>
        <v>1</v>
      </c>
      <c r="F22" s="16"/>
      <c r="G22" s="16"/>
      <c r="H22" s="16">
        <f t="shared" si="9"/>
        <v>1</v>
      </c>
      <c r="I22" s="17">
        <v>12</v>
      </c>
      <c r="J22" s="17" t="s">
        <v>14</v>
      </c>
      <c r="K22" s="7"/>
      <c r="L22" s="13"/>
      <c r="M22" s="28"/>
      <c r="N22" s="17" t="s">
        <v>5</v>
      </c>
      <c r="O22" s="17">
        <v>78</v>
      </c>
      <c r="P22" s="16">
        <f>IF(Q22&gt;R22,3,IF(Q22=R22,1,0))</f>
        <v>1</v>
      </c>
      <c r="Q22" s="16"/>
      <c r="R22" s="16"/>
      <c r="S22" s="16">
        <f>IF(R22&gt;Q22,3,IF(Q22=R22,1,0))</f>
        <v>1</v>
      </c>
      <c r="T22" s="17">
        <v>2</v>
      </c>
      <c r="U22" s="17" t="s">
        <v>14</v>
      </c>
      <c r="W22" t="s">
        <v>17</v>
      </c>
      <c r="X22" s="1">
        <v>50</v>
      </c>
      <c r="Y22">
        <f t="shared" si="4"/>
        <v>6</v>
      </c>
      <c r="Z22">
        <f t="shared" si="5"/>
        <v>0</v>
      </c>
    </row>
    <row r="23" spans="1:26" ht="23" thickBot="1" x14ac:dyDescent="0.25">
      <c r="A23" s="1"/>
      <c r="B23" s="29"/>
      <c r="C23" s="21" t="s">
        <v>17</v>
      </c>
      <c r="D23" s="21">
        <v>50</v>
      </c>
      <c r="E23" s="25">
        <f>IF(F23&gt;G23,3,IF(F23=G23,1,0))</f>
        <v>1</v>
      </c>
      <c r="F23" s="20"/>
      <c r="G23" s="20"/>
      <c r="H23" s="25">
        <f>IF(G23&gt;F23,3,IF(F23=G23,1,0))</f>
        <v>1</v>
      </c>
      <c r="I23" s="21">
        <v>14</v>
      </c>
      <c r="J23" s="21" t="s">
        <v>15</v>
      </c>
      <c r="K23" s="7"/>
      <c r="L23" s="13"/>
      <c r="M23" s="29"/>
      <c r="N23" s="21" t="s">
        <v>4</v>
      </c>
      <c r="O23" s="21">
        <v>65</v>
      </c>
      <c r="P23" s="25">
        <f>IF(Q23&gt;R23,3,IF(Q23=R23,1,0))</f>
        <v>1</v>
      </c>
      <c r="Q23" s="20"/>
      <c r="R23" s="20"/>
      <c r="S23" s="25">
        <f t="shared" ref="S23:S25" si="12">IF(R23&gt;Q23,3,IF(Q23=R23,1,0))</f>
        <v>1</v>
      </c>
      <c r="T23" s="21">
        <v>28</v>
      </c>
      <c r="U23" s="21" t="s">
        <v>20</v>
      </c>
      <c r="W23" t="s">
        <v>17</v>
      </c>
      <c r="X23" s="1">
        <v>52</v>
      </c>
      <c r="Y23">
        <f t="shared" si="4"/>
        <v>5</v>
      </c>
      <c r="Z23">
        <f t="shared" si="5"/>
        <v>0</v>
      </c>
    </row>
    <row r="24" spans="1:26" ht="22" x14ac:dyDescent="0.2">
      <c r="A24" s="1"/>
      <c r="B24" s="30" t="s">
        <v>112</v>
      </c>
      <c r="C24" s="19" t="s">
        <v>5</v>
      </c>
      <c r="D24" s="19">
        <v>81</v>
      </c>
      <c r="E24" s="15">
        <f t="shared" ref="E24:E28" si="13">IF(F24&gt;G24,3,IF(F24=G24,1,0))</f>
        <v>1</v>
      </c>
      <c r="F24" s="15"/>
      <c r="G24" s="15"/>
      <c r="H24" s="15">
        <f t="shared" si="9"/>
        <v>1</v>
      </c>
      <c r="I24" s="19">
        <v>5</v>
      </c>
      <c r="J24" s="19" t="s">
        <v>14</v>
      </c>
      <c r="K24" s="7"/>
      <c r="L24" s="13"/>
      <c r="M24" s="30" t="s">
        <v>112</v>
      </c>
      <c r="N24" s="19" t="s">
        <v>13</v>
      </c>
      <c r="O24" s="19">
        <v>87</v>
      </c>
      <c r="P24" s="15">
        <f t="shared" ref="P24:P28" si="14">IF(Q24&gt;R24,3,IF(Q24=R24,1,0))</f>
        <v>1</v>
      </c>
      <c r="Q24" s="15"/>
      <c r="R24" s="15"/>
      <c r="S24" s="15">
        <f t="shared" si="12"/>
        <v>1</v>
      </c>
      <c r="T24" s="19">
        <v>70</v>
      </c>
      <c r="U24" s="19" t="s">
        <v>4</v>
      </c>
      <c r="W24" t="s">
        <v>17</v>
      </c>
      <c r="X24" s="1">
        <v>54</v>
      </c>
      <c r="Y24">
        <f t="shared" si="4"/>
        <v>8</v>
      </c>
      <c r="Z24">
        <f t="shared" si="5"/>
        <v>15</v>
      </c>
    </row>
    <row r="25" spans="1:26" ht="22" x14ac:dyDescent="0.2">
      <c r="B25" s="31"/>
      <c r="C25" s="17" t="s">
        <v>4</v>
      </c>
      <c r="D25" s="17">
        <v>72</v>
      </c>
      <c r="E25" s="16">
        <f t="shared" si="13"/>
        <v>1</v>
      </c>
      <c r="F25" s="16"/>
      <c r="G25" s="16"/>
      <c r="H25" s="16">
        <f t="shared" si="9"/>
        <v>1</v>
      </c>
      <c r="I25" s="17">
        <v>33</v>
      </c>
      <c r="J25" s="17" t="s">
        <v>20</v>
      </c>
      <c r="K25" s="7"/>
      <c r="L25" s="13"/>
      <c r="M25" s="31"/>
      <c r="N25" s="17" t="s">
        <v>15</v>
      </c>
      <c r="O25" s="17">
        <v>21</v>
      </c>
      <c r="P25" s="16">
        <f t="shared" si="14"/>
        <v>1</v>
      </c>
      <c r="Q25" s="16"/>
      <c r="R25" s="16"/>
      <c r="S25" s="16">
        <f t="shared" si="12"/>
        <v>1</v>
      </c>
      <c r="T25" s="17">
        <v>54</v>
      </c>
      <c r="U25" s="17" t="s">
        <v>17</v>
      </c>
      <c r="W25" t="s">
        <v>17</v>
      </c>
      <c r="X25" s="1">
        <v>56</v>
      </c>
      <c r="Y25">
        <f t="shared" si="4"/>
        <v>6</v>
      </c>
      <c r="Z25">
        <f t="shared" si="5"/>
        <v>10</v>
      </c>
    </row>
    <row r="26" spans="1:26" ht="22" x14ac:dyDescent="0.2">
      <c r="B26" s="31"/>
      <c r="C26" s="17" t="s">
        <v>13</v>
      </c>
      <c r="D26" s="17">
        <v>85</v>
      </c>
      <c r="E26" s="16">
        <f t="shared" si="13"/>
        <v>1</v>
      </c>
      <c r="F26" s="16"/>
      <c r="G26" s="16"/>
      <c r="H26" s="16">
        <f>IF(G26&gt;F26,3,IF(F26=G26,1,0))</f>
        <v>1</v>
      </c>
      <c r="I26" s="17">
        <v>37</v>
      </c>
      <c r="J26" s="17" t="s">
        <v>20</v>
      </c>
      <c r="K26" s="7"/>
      <c r="L26" s="13"/>
      <c r="M26" s="31"/>
      <c r="N26" s="17" t="s">
        <v>5</v>
      </c>
      <c r="O26" s="17">
        <v>76</v>
      </c>
      <c r="P26" s="16">
        <f t="shared" si="14"/>
        <v>1</v>
      </c>
      <c r="Q26" s="16"/>
      <c r="R26" s="16"/>
      <c r="S26" s="16">
        <f>IF(R26&gt;Q26,3,IF(Q26=R26,1,0))</f>
        <v>1</v>
      </c>
      <c r="T26" s="17">
        <v>9</v>
      </c>
      <c r="U26" s="17" t="s">
        <v>14</v>
      </c>
      <c r="W26" t="s">
        <v>17</v>
      </c>
      <c r="X26" s="1">
        <v>58</v>
      </c>
      <c r="Y26">
        <f t="shared" si="4"/>
        <v>5</v>
      </c>
      <c r="Z26">
        <f t="shared" si="5"/>
        <v>20</v>
      </c>
    </row>
    <row r="27" spans="1:26" ht="22" x14ac:dyDescent="0.2">
      <c r="B27" s="31"/>
      <c r="C27" s="17" t="s">
        <v>15</v>
      </c>
      <c r="D27" s="17">
        <v>19</v>
      </c>
      <c r="E27" s="16">
        <f t="shared" si="13"/>
        <v>1</v>
      </c>
      <c r="F27" s="16"/>
      <c r="G27" s="16"/>
      <c r="H27" s="16">
        <f t="shared" ref="H27:H28" si="15">IF(G27&gt;F27,3,IF(F27=G27,1,0))</f>
        <v>1</v>
      </c>
      <c r="I27" s="17">
        <v>52</v>
      </c>
      <c r="J27" s="17" t="s">
        <v>17</v>
      </c>
      <c r="K27" s="7"/>
      <c r="L27" s="13"/>
      <c r="M27" s="31"/>
      <c r="N27" s="17" t="s">
        <v>13</v>
      </c>
      <c r="O27" s="17">
        <v>90</v>
      </c>
      <c r="P27" s="16">
        <f t="shared" si="14"/>
        <v>1</v>
      </c>
      <c r="Q27" s="16"/>
      <c r="R27" s="16"/>
      <c r="S27" s="16">
        <f t="shared" ref="S27:S28" si="16">IF(R27&gt;Q27,3,IF(Q27=R27,1,0))</f>
        <v>1</v>
      </c>
      <c r="T27" s="17">
        <v>61</v>
      </c>
      <c r="U27" s="17" t="s">
        <v>4</v>
      </c>
      <c r="W27" t="s">
        <v>4</v>
      </c>
      <c r="X27" s="1">
        <v>61</v>
      </c>
      <c r="Y27">
        <f t="shared" si="4"/>
        <v>5</v>
      </c>
      <c r="Z27">
        <f t="shared" si="5"/>
        <v>3</v>
      </c>
    </row>
    <row r="28" spans="1:26" ht="22" x14ac:dyDescent="0.2">
      <c r="B28" s="31"/>
      <c r="C28" s="17" t="s">
        <v>5</v>
      </c>
      <c r="D28" s="17">
        <v>73</v>
      </c>
      <c r="E28" s="16">
        <f t="shared" si="13"/>
        <v>1</v>
      </c>
      <c r="F28" s="16"/>
      <c r="G28" s="16"/>
      <c r="H28" s="16">
        <f t="shared" si="15"/>
        <v>1</v>
      </c>
      <c r="I28" s="17">
        <v>4</v>
      </c>
      <c r="J28" s="17" t="s">
        <v>14</v>
      </c>
      <c r="K28" s="7"/>
      <c r="L28" s="13"/>
      <c r="M28" s="31"/>
      <c r="N28" s="17" t="s">
        <v>13</v>
      </c>
      <c r="O28" s="17">
        <v>91</v>
      </c>
      <c r="P28" s="16">
        <f t="shared" si="14"/>
        <v>1</v>
      </c>
      <c r="Q28" s="16"/>
      <c r="R28" s="16"/>
      <c r="S28" s="16">
        <f t="shared" si="16"/>
        <v>1</v>
      </c>
      <c r="T28" s="17">
        <v>30</v>
      </c>
      <c r="U28" s="17" t="s">
        <v>20</v>
      </c>
      <c r="W28" t="s">
        <v>4</v>
      </c>
      <c r="X28" s="1">
        <v>64</v>
      </c>
      <c r="Y28">
        <f t="shared" si="4"/>
        <v>8</v>
      </c>
      <c r="Z28">
        <f t="shared" si="5"/>
        <v>35</v>
      </c>
    </row>
    <row r="29" spans="1:26" x14ac:dyDescent="0.2">
      <c r="B29" s="6"/>
      <c r="C29" s="6"/>
      <c r="D29" s="5"/>
      <c r="E29" s="5"/>
      <c r="F29" s="5"/>
      <c r="G29" s="5"/>
      <c r="H29" s="5"/>
      <c r="I29" s="5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t="s">
        <v>4</v>
      </c>
      <c r="X29" s="1">
        <v>65</v>
      </c>
      <c r="Y29">
        <f t="shared" si="4"/>
        <v>8</v>
      </c>
      <c r="Z29">
        <f t="shared" si="5"/>
        <v>23</v>
      </c>
    </row>
    <row r="30" spans="1:26" x14ac:dyDescent="0.2">
      <c r="B30" s="6"/>
      <c r="C30" s="6"/>
      <c r="D30" s="5"/>
      <c r="E30" s="5"/>
      <c r="F30" s="5"/>
      <c r="G30" s="5"/>
      <c r="H30" s="5"/>
      <c r="I30" s="5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t="s">
        <v>4</v>
      </c>
      <c r="X30" s="1">
        <v>67</v>
      </c>
      <c r="Y30">
        <f t="shared" si="4"/>
        <v>5</v>
      </c>
      <c r="Z30">
        <f t="shared" si="5"/>
        <v>5</v>
      </c>
    </row>
    <row r="31" spans="1:26" ht="27" x14ac:dyDescent="0.35">
      <c r="B31" s="26" t="s">
        <v>37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5"/>
      <c r="W31" t="s">
        <v>4</v>
      </c>
      <c r="X31" s="1">
        <v>70</v>
      </c>
      <c r="Y31">
        <f t="shared" si="4"/>
        <v>5</v>
      </c>
      <c r="Z31">
        <f t="shared" si="5"/>
        <v>1</v>
      </c>
    </row>
    <row r="32" spans="1:26" ht="22" x14ac:dyDescent="0.2">
      <c r="B32" s="27" t="s">
        <v>29</v>
      </c>
      <c r="C32" s="27"/>
      <c r="D32" s="27"/>
      <c r="E32" s="27"/>
      <c r="F32" s="27"/>
      <c r="G32" s="27"/>
      <c r="H32" s="27"/>
      <c r="I32" s="27"/>
      <c r="J32" s="27"/>
      <c r="K32" s="8"/>
      <c r="L32" s="9"/>
      <c r="M32" s="27" t="s">
        <v>30</v>
      </c>
      <c r="N32" s="27"/>
      <c r="O32" s="27"/>
      <c r="P32" s="27"/>
      <c r="Q32" s="27"/>
      <c r="R32" s="27"/>
      <c r="S32" s="27"/>
      <c r="T32" s="27"/>
      <c r="U32" s="27"/>
      <c r="V32" s="10"/>
      <c r="W32" t="s">
        <v>4</v>
      </c>
      <c r="X32" s="1">
        <v>72</v>
      </c>
      <c r="Y32">
        <f t="shared" si="4"/>
        <v>8</v>
      </c>
      <c r="Z32">
        <f t="shared" si="5"/>
        <v>30</v>
      </c>
    </row>
    <row r="33" spans="1:26" x14ac:dyDescent="0.2">
      <c r="A33" s="1"/>
      <c r="B33" s="11" t="s">
        <v>31</v>
      </c>
      <c r="C33" s="11" t="s">
        <v>2</v>
      </c>
      <c r="D33" s="11" t="s">
        <v>123</v>
      </c>
      <c r="E33" s="11" t="s">
        <v>127</v>
      </c>
      <c r="F33" s="11" t="s">
        <v>124</v>
      </c>
      <c r="G33" s="11" t="s">
        <v>125</v>
      </c>
      <c r="H33" s="11" t="s">
        <v>128</v>
      </c>
      <c r="I33" s="11" t="s">
        <v>126</v>
      </c>
      <c r="J33" s="11" t="s">
        <v>2</v>
      </c>
      <c r="K33" s="7"/>
      <c r="L33" s="7"/>
      <c r="M33" s="11" t="s">
        <v>31</v>
      </c>
      <c r="N33" s="11" t="s">
        <v>2</v>
      </c>
      <c r="O33" s="11" t="s">
        <v>123</v>
      </c>
      <c r="P33" s="11" t="s">
        <v>127</v>
      </c>
      <c r="Q33" s="11" t="s">
        <v>124</v>
      </c>
      <c r="R33" s="11" t="s">
        <v>125</v>
      </c>
      <c r="S33" s="11" t="s">
        <v>128</v>
      </c>
      <c r="T33" s="11" t="s">
        <v>126</v>
      </c>
      <c r="U33" s="11" t="s">
        <v>2</v>
      </c>
      <c r="V33" s="5"/>
      <c r="W33" t="s">
        <v>5</v>
      </c>
      <c r="X33" s="1">
        <v>73</v>
      </c>
      <c r="Y33">
        <f t="shared" si="4"/>
        <v>8</v>
      </c>
      <c r="Z33">
        <f t="shared" si="5"/>
        <v>31</v>
      </c>
    </row>
    <row r="34" spans="1:26" ht="22" x14ac:dyDescent="0.2">
      <c r="A34" s="1"/>
      <c r="B34" s="28" t="s">
        <v>116</v>
      </c>
      <c r="C34" s="17" t="s">
        <v>4</v>
      </c>
      <c r="D34" s="17">
        <v>61</v>
      </c>
      <c r="E34" s="16">
        <f>IF(F34&gt;G34,3,IF(F34=G34,1,0))</f>
        <v>1</v>
      </c>
      <c r="F34" s="16"/>
      <c r="G34" s="16"/>
      <c r="H34" s="16">
        <f>IF(G34&gt;F34,3,IF(F34=G34,1,0))</f>
        <v>1</v>
      </c>
      <c r="I34" s="17">
        <v>52</v>
      </c>
      <c r="J34" s="17" t="s">
        <v>17</v>
      </c>
      <c r="K34" s="7"/>
      <c r="L34" s="13"/>
      <c r="M34" s="28" t="s">
        <v>116</v>
      </c>
      <c r="N34" s="17" t="s">
        <v>15</v>
      </c>
      <c r="O34" s="17">
        <v>25</v>
      </c>
      <c r="P34" s="16">
        <f>IF(Q34&gt;R34,3,IF(Q34=R34,1,0))</f>
        <v>1</v>
      </c>
      <c r="Q34" s="16"/>
      <c r="R34" s="16"/>
      <c r="S34" s="16">
        <f>IF(R34&gt;Q34,3,IF(Q34=R34,1,0))</f>
        <v>1</v>
      </c>
      <c r="T34" s="17">
        <v>90</v>
      </c>
      <c r="U34" s="17" t="s">
        <v>13</v>
      </c>
      <c r="W34" t="s">
        <v>5</v>
      </c>
      <c r="X34" s="1">
        <v>76</v>
      </c>
      <c r="Y34">
        <f t="shared" si="4"/>
        <v>5</v>
      </c>
      <c r="Z34">
        <f t="shared" si="5"/>
        <v>0</v>
      </c>
    </row>
    <row r="35" spans="1:26" ht="22" x14ac:dyDescent="0.2">
      <c r="A35" s="1"/>
      <c r="B35" s="28"/>
      <c r="C35" s="17" t="s">
        <v>5</v>
      </c>
      <c r="D35" s="17">
        <v>81</v>
      </c>
      <c r="E35" s="16">
        <f t="shared" ref="E35:E36" si="17">IF(F35&gt;G35,3,IF(F35=G35,1,0))</f>
        <v>1</v>
      </c>
      <c r="F35" s="16"/>
      <c r="G35" s="16"/>
      <c r="H35" s="16">
        <f t="shared" ref="H35:H37" si="18">IF(G35&gt;F35,3,IF(F35=G35,1,0))</f>
        <v>1</v>
      </c>
      <c r="I35" s="17">
        <v>27</v>
      </c>
      <c r="J35" s="17" t="s">
        <v>20</v>
      </c>
      <c r="K35" s="7"/>
      <c r="L35" s="13"/>
      <c r="M35" s="28"/>
      <c r="N35" s="17" t="s">
        <v>14</v>
      </c>
      <c r="O35" s="17">
        <v>9</v>
      </c>
      <c r="P35" s="16">
        <f t="shared" ref="P35:P36" si="19">IF(Q35&gt;R35,3,IF(Q35=R35,1,0))</f>
        <v>1</v>
      </c>
      <c r="Q35" s="16"/>
      <c r="R35" s="16"/>
      <c r="S35" s="16">
        <f t="shared" ref="S35:S36" si="20">IF(R35&gt;Q35,3,IF(Q35=R35,1,0))</f>
        <v>1</v>
      </c>
      <c r="T35" s="17">
        <v>88</v>
      </c>
      <c r="U35" s="17" t="s">
        <v>13</v>
      </c>
      <c r="W35" t="s">
        <v>5</v>
      </c>
      <c r="X35" s="1">
        <v>78</v>
      </c>
      <c r="Y35">
        <f t="shared" si="4"/>
        <v>6</v>
      </c>
      <c r="Z35">
        <f t="shared" si="5"/>
        <v>0</v>
      </c>
    </row>
    <row r="36" spans="1:26" ht="22" x14ac:dyDescent="0.2">
      <c r="A36" s="1"/>
      <c r="B36" s="28"/>
      <c r="C36" s="17" t="s">
        <v>15</v>
      </c>
      <c r="D36" s="18">
        <v>19</v>
      </c>
      <c r="E36" s="16">
        <f t="shared" si="17"/>
        <v>1</v>
      </c>
      <c r="F36" s="16"/>
      <c r="G36" s="16"/>
      <c r="H36" s="16">
        <f t="shared" si="18"/>
        <v>1</v>
      </c>
      <c r="I36" s="17">
        <v>89</v>
      </c>
      <c r="J36" s="17" t="s">
        <v>13</v>
      </c>
      <c r="K36" s="7"/>
      <c r="L36" s="13"/>
      <c r="M36" s="28"/>
      <c r="N36" s="17" t="s">
        <v>4</v>
      </c>
      <c r="O36" s="18">
        <v>65</v>
      </c>
      <c r="P36" s="16">
        <f t="shared" si="19"/>
        <v>1</v>
      </c>
      <c r="Q36" s="16"/>
      <c r="R36" s="16"/>
      <c r="S36" s="16">
        <f t="shared" si="20"/>
        <v>1</v>
      </c>
      <c r="T36" s="17">
        <v>54</v>
      </c>
      <c r="U36" s="17" t="s">
        <v>17</v>
      </c>
      <c r="W36" t="s">
        <v>5</v>
      </c>
      <c r="X36" s="1">
        <v>79</v>
      </c>
      <c r="Y36">
        <f t="shared" si="4"/>
        <v>5</v>
      </c>
      <c r="Z36">
        <f t="shared" si="5"/>
        <v>0</v>
      </c>
    </row>
    <row r="37" spans="1:26" ht="22" x14ac:dyDescent="0.2">
      <c r="A37" s="1"/>
      <c r="B37" s="28"/>
      <c r="C37" s="17" t="s">
        <v>14</v>
      </c>
      <c r="D37" s="17">
        <v>12</v>
      </c>
      <c r="E37" s="16">
        <f>IF(F37&gt;G37,3,IF(F37=G37,1,0))</f>
        <v>1</v>
      </c>
      <c r="F37" s="16"/>
      <c r="G37" s="16"/>
      <c r="H37" s="16">
        <f t="shared" si="18"/>
        <v>1</v>
      </c>
      <c r="I37" s="17">
        <v>33</v>
      </c>
      <c r="J37" s="17" t="s">
        <v>20</v>
      </c>
      <c r="K37" s="7"/>
      <c r="L37" s="13"/>
      <c r="M37" s="28"/>
      <c r="N37" s="17" t="s">
        <v>20</v>
      </c>
      <c r="O37" s="17">
        <v>30</v>
      </c>
      <c r="P37" s="16">
        <f>IF(Q37&gt;R37,3,IF(Q37=R37,1,0))</f>
        <v>1</v>
      </c>
      <c r="Q37" s="16"/>
      <c r="R37" s="16"/>
      <c r="S37" s="16">
        <f>IF(R37&gt;Q37,3,IF(Q37=R37,1,0))</f>
        <v>1</v>
      </c>
      <c r="T37" s="17">
        <v>76</v>
      </c>
      <c r="U37" s="17" t="s">
        <v>5</v>
      </c>
      <c r="W37" t="s">
        <v>5</v>
      </c>
      <c r="X37" s="1">
        <v>81</v>
      </c>
      <c r="Y37">
        <f t="shared" si="4"/>
        <v>8</v>
      </c>
      <c r="Z37">
        <f t="shared" si="5"/>
        <v>10</v>
      </c>
    </row>
    <row r="38" spans="1:26" ht="23" thickBot="1" x14ac:dyDescent="0.25">
      <c r="A38" s="1"/>
      <c r="B38" s="29"/>
      <c r="C38" s="21" t="s">
        <v>4</v>
      </c>
      <c r="D38" s="21">
        <v>64</v>
      </c>
      <c r="E38" s="25">
        <f>IF(F38&gt;G38,3,IF(F38=G38,1,0))</f>
        <v>1</v>
      </c>
      <c r="F38" s="20"/>
      <c r="G38" s="20"/>
      <c r="H38" s="25">
        <f>IF(G38&gt;F38,3,IF(F38=G38,1,0))</f>
        <v>1</v>
      </c>
      <c r="I38" s="21">
        <v>56</v>
      </c>
      <c r="J38" s="21" t="s">
        <v>17</v>
      </c>
      <c r="K38" s="7"/>
      <c r="L38" s="13"/>
      <c r="M38" s="29"/>
      <c r="N38" s="21" t="s">
        <v>13</v>
      </c>
      <c r="O38" s="21">
        <v>87</v>
      </c>
      <c r="P38" s="25">
        <f>IF(Q38&gt;R38,3,IF(Q38=R38,1,0))</f>
        <v>1</v>
      </c>
      <c r="Q38" s="20"/>
      <c r="R38" s="20"/>
      <c r="S38" s="25">
        <f t="shared" ref="S38:S40" si="21">IF(R38&gt;Q38,3,IF(Q38=R38,1,0))</f>
        <v>1</v>
      </c>
      <c r="T38" s="21">
        <v>21</v>
      </c>
      <c r="U38" s="21" t="s">
        <v>15</v>
      </c>
      <c r="W38" t="s">
        <v>13</v>
      </c>
      <c r="X38" s="1">
        <v>89</v>
      </c>
      <c r="Y38">
        <f t="shared" si="4"/>
        <v>8</v>
      </c>
      <c r="Z38">
        <f t="shared" si="5"/>
        <v>21</v>
      </c>
    </row>
    <row r="39" spans="1:26" ht="22" x14ac:dyDescent="0.2">
      <c r="A39" s="1"/>
      <c r="B39" s="30" t="s">
        <v>117</v>
      </c>
      <c r="C39" s="19" t="s">
        <v>20</v>
      </c>
      <c r="D39" s="19">
        <v>28</v>
      </c>
      <c r="E39" s="15">
        <f t="shared" ref="E39:E43" si="22">IF(F39&gt;G39,3,IF(F39=G39,1,0))</f>
        <v>1</v>
      </c>
      <c r="F39" s="15"/>
      <c r="G39" s="15"/>
      <c r="H39" s="15">
        <f t="shared" ref="H39:H40" si="23">IF(G39&gt;F39,3,IF(F39=G39,1,0))</f>
        <v>1</v>
      </c>
      <c r="I39" s="19">
        <v>79</v>
      </c>
      <c r="J39" s="19" t="s">
        <v>5</v>
      </c>
      <c r="K39" s="7"/>
      <c r="L39" s="13"/>
      <c r="M39" s="30" t="s">
        <v>117</v>
      </c>
      <c r="N39" s="19" t="s">
        <v>14</v>
      </c>
      <c r="O39" s="23">
        <v>4</v>
      </c>
      <c r="P39" s="15">
        <f t="shared" ref="P39:P43" si="24">IF(Q39&gt;R39,3,IF(Q39=R39,1,0))</f>
        <v>1</v>
      </c>
      <c r="Q39" s="15"/>
      <c r="R39" s="15"/>
      <c r="S39" s="15">
        <f t="shared" si="21"/>
        <v>1</v>
      </c>
      <c r="T39" s="19">
        <v>67</v>
      </c>
      <c r="U39" s="19" t="s">
        <v>4</v>
      </c>
      <c r="W39" t="s">
        <v>13</v>
      </c>
      <c r="X39" s="1">
        <v>85</v>
      </c>
      <c r="Y39">
        <f t="shared" si="4"/>
        <v>8</v>
      </c>
      <c r="Z39">
        <f t="shared" si="5"/>
        <v>10</v>
      </c>
    </row>
    <row r="40" spans="1:26" ht="22" x14ac:dyDescent="0.2">
      <c r="B40" s="31"/>
      <c r="C40" s="17" t="s">
        <v>15</v>
      </c>
      <c r="D40" s="17">
        <v>14</v>
      </c>
      <c r="E40" s="16">
        <f t="shared" si="22"/>
        <v>1</v>
      </c>
      <c r="F40" s="16"/>
      <c r="G40" s="16"/>
      <c r="H40" s="16">
        <f t="shared" si="23"/>
        <v>1</v>
      </c>
      <c r="I40" s="17">
        <v>85</v>
      </c>
      <c r="J40" s="17" t="s">
        <v>13</v>
      </c>
      <c r="K40" s="7"/>
      <c r="L40" s="13"/>
      <c r="M40" s="31"/>
      <c r="N40" s="17" t="s">
        <v>4</v>
      </c>
      <c r="O40" s="17">
        <v>72</v>
      </c>
      <c r="P40" s="16">
        <f t="shared" si="24"/>
        <v>1</v>
      </c>
      <c r="Q40" s="16"/>
      <c r="R40" s="16"/>
      <c r="S40" s="16">
        <f t="shared" si="21"/>
        <v>1</v>
      </c>
      <c r="T40" s="17">
        <v>50</v>
      </c>
      <c r="U40" s="17" t="s">
        <v>17</v>
      </c>
      <c r="W40" t="s">
        <v>13</v>
      </c>
      <c r="X40" s="1">
        <v>87</v>
      </c>
      <c r="Y40">
        <f t="shared" si="4"/>
        <v>6</v>
      </c>
      <c r="Z40">
        <f t="shared" si="5"/>
        <v>0</v>
      </c>
    </row>
    <row r="41" spans="1:26" ht="22" x14ac:dyDescent="0.2">
      <c r="B41" s="31"/>
      <c r="C41" s="17" t="s">
        <v>14</v>
      </c>
      <c r="D41" s="17">
        <v>2</v>
      </c>
      <c r="E41" s="16">
        <f t="shared" si="22"/>
        <v>1</v>
      </c>
      <c r="F41" s="16"/>
      <c r="G41" s="16"/>
      <c r="H41" s="16">
        <f>IF(G41&gt;F41,3,IF(F41=G41,1,0))</f>
        <v>1</v>
      </c>
      <c r="I41" s="17">
        <v>16</v>
      </c>
      <c r="J41" s="17" t="s">
        <v>15</v>
      </c>
      <c r="K41" s="7"/>
      <c r="L41" s="13"/>
      <c r="M41" s="31"/>
      <c r="N41" s="17" t="s">
        <v>5</v>
      </c>
      <c r="O41" s="17">
        <v>78</v>
      </c>
      <c r="P41" s="16">
        <f t="shared" si="24"/>
        <v>1</v>
      </c>
      <c r="Q41" s="16"/>
      <c r="R41" s="16"/>
      <c r="S41" s="16">
        <f>IF(R41&gt;Q41,3,IF(Q41=R41,1,0))</f>
        <v>1</v>
      </c>
      <c r="T41" s="17">
        <v>34</v>
      </c>
      <c r="U41" s="17" t="s">
        <v>20</v>
      </c>
      <c r="W41" t="s">
        <v>13</v>
      </c>
      <c r="X41" s="1">
        <v>88</v>
      </c>
      <c r="Y41">
        <f t="shared" si="4"/>
        <v>5</v>
      </c>
      <c r="Z41">
        <f t="shared" si="5"/>
        <v>24</v>
      </c>
    </row>
    <row r="42" spans="1:26" ht="22" x14ac:dyDescent="0.2">
      <c r="B42" s="31"/>
      <c r="C42" s="17" t="s">
        <v>4</v>
      </c>
      <c r="D42" s="17">
        <v>70</v>
      </c>
      <c r="E42" s="16">
        <f t="shared" si="22"/>
        <v>1</v>
      </c>
      <c r="F42" s="16"/>
      <c r="G42" s="16"/>
      <c r="H42" s="16">
        <f t="shared" ref="H42:H43" si="25">IF(G42&gt;F42,3,IF(F42=G42,1,0))</f>
        <v>1</v>
      </c>
      <c r="I42" s="17">
        <v>58</v>
      </c>
      <c r="J42" s="17" t="s">
        <v>17</v>
      </c>
      <c r="K42" s="7"/>
      <c r="L42" s="13"/>
      <c r="M42" s="31"/>
      <c r="N42" s="17" t="s">
        <v>15</v>
      </c>
      <c r="O42" s="17">
        <v>24</v>
      </c>
      <c r="P42" s="16">
        <f t="shared" si="24"/>
        <v>1</v>
      </c>
      <c r="Q42" s="16"/>
      <c r="R42" s="16"/>
      <c r="S42" s="16">
        <f t="shared" ref="S42:S43" si="26">IF(R42&gt;Q42,3,IF(Q42=R42,1,0))</f>
        <v>1</v>
      </c>
      <c r="T42" s="17">
        <v>7</v>
      </c>
      <c r="U42" s="17" t="s">
        <v>14</v>
      </c>
      <c r="W42" t="s">
        <v>13</v>
      </c>
      <c r="X42" s="1">
        <v>90</v>
      </c>
      <c r="Y42">
        <f t="shared" si="4"/>
        <v>5</v>
      </c>
      <c r="Z42">
        <f t="shared" si="5"/>
        <v>0</v>
      </c>
    </row>
    <row r="43" spans="1:26" ht="22" x14ac:dyDescent="0.2">
      <c r="B43" s="31"/>
      <c r="C43" s="17" t="s">
        <v>5</v>
      </c>
      <c r="D43" s="17">
        <v>73</v>
      </c>
      <c r="E43" s="16">
        <f t="shared" si="22"/>
        <v>1</v>
      </c>
      <c r="F43" s="16"/>
      <c r="G43" s="16"/>
      <c r="H43" s="16">
        <f t="shared" si="25"/>
        <v>1</v>
      </c>
      <c r="I43" s="17">
        <v>37</v>
      </c>
      <c r="J43" s="17" t="s">
        <v>20</v>
      </c>
      <c r="K43" s="7"/>
      <c r="L43" s="13"/>
      <c r="M43" s="31"/>
      <c r="N43" s="17" t="s">
        <v>14</v>
      </c>
      <c r="O43" s="17">
        <v>5</v>
      </c>
      <c r="P43" s="16">
        <f t="shared" si="24"/>
        <v>1</v>
      </c>
      <c r="Q43" s="16"/>
      <c r="R43" s="16"/>
      <c r="S43" s="16">
        <f t="shared" si="26"/>
        <v>1</v>
      </c>
      <c r="T43" s="17">
        <v>91</v>
      </c>
      <c r="U43" s="17" t="s">
        <v>13</v>
      </c>
      <c r="W43" t="s">
        <v>13</v>
      </c>
      <c r="X43" s="1">
        <v>91</v>
      </c>
      <c r="Y43">
        <f t="shared" si="4"/>
        <v>8</v>
      </c>
      <c r="Z43">
        <f t="shared" si="5"/>
        <v>25</v>
      </c>
    </row>
    <row r="44" spans="1:26" x14ac:dyDescent="0.2">
      <c r="B44" s="6"/>
      <c r="C44" s="6"/>
      <c r="D44" s="5"/>
      <c r="E44" s="5"/>
      <c r="F44" s="5"/>
      <c r="G44" s="5"/>
      <c r="H44" s="5"/>
      <c r="I44" s="5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6" x14ac:dyDescent="0.2">
      <c r="B45" s="6"/>
      <c r="C45" s="6"/>
      <c r="D45" s="5"/>
      <c r="E45" s="5"/>
      <c r="F45" s="5"/>
      <c r="G45" s="5"/>
      <c r="H45" s="5"/>
      <c r="I45" s="5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6" ht="27" x14ac:dyDescent="0.35">
      <c r="B46" s="26" t="s">
        <v>38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5"/>
    </row>
    <row r="47" spans="1:26" ht="22" x14ac:dyDescent="0.2">
      <c r="B47" s="27" t="s">
        <v>29</v>
      </c>
      <c r="C47" s="27"/>
      <c r="D47" s="27"/>
      <c r="E47" s="27"/>
      <c r="F47" s="27"/>
      <c r="G47" s="27"/>
      <c r="H47" s="27"/>
      <c r="I47" s="27"/>
      <c r="J47" s="27"/>
      <c r="K47" s="8"/>
      <c r="L47" s="9"/>
      <c r="M47" s="27" t="s">
        <v>30</v>
      </c>
      <c r="N47" s="27"/>
      <c r="O47" s="27"/>
      <c r="P47" s="27"/>
      <c r="Q47" s="27"/>
      <c r="R47" s="27"/>
      <c r="S47" s="27"/>
      <c r="T47" s="27"/>
      <c r="U47" s="27"/>
      <c r="V47" s="10"/>
    </row>
    <row r="48" spans="1:26" x14ac:dyDescent="0.2">
      <c r="B48" s="11" t="s">
        <v>31</v>
      </c>
      <c r="C48" s="11" t="s">
        <v>2</v>
      </c>
      <c r="D48" s="11" t="s">
        <v>123</v>
      </c>
      <c r="E48" s="11" t="s">
        <v>127</v>
      </c>
      <c r="F48" s="11" t="s">
        <v>124</v>
      </c>
      <c r="G48" s="11" t="s">
        <v>125</v>
      </c>
      <c r="H48" s="11" t="s">
        <v>128</v>
      </c>
      <c r="I48" s="11" t="s">
        <v>126</v>
      </c>
      <c r="J48" s="11" t="s">
        <v>2</v>
      </c>
      <c r="K48" s="7"/>
      <c r="L48" s="7"/>
      <c r="M48" s="11" t="s">
        <v>31</v>
      </c>
      <c r="N48" s="11" t="s">
        <v>2</v>
      </c>
      <c r="O48" s="11" t="s">
        <v>123</v>
      </c>
      <c r="P48" s="11" t="s">
        <v>127</v>
      </c>
      <c r="Q48" s="11" t="s">
        <v>124</v>
      </c>
      <c r="R48" s="11" t="s">
        <v>125</v>
      </c>
      <c r="S48" s="11" t="s">
        <v>128</v>
      </c>
      <c r="T48" s="11" t="s">
        <v>126</v>
      </c>
      <c r="U48" s="11" t="s">
        <v>2</v>
      </c>
      <c r="V48" s="5"/>
    </row>
    <row r="49" spans="1:22" ht="22" x14ac:dyDescent="0.2">
      <c r="A49" s="1"/>
      <c r="B49" s="28" t="s">
        <v>118</v>
      </c>
      <c r="C49" s="17" t="s">
        <v>14</v>
      </c>
      <c r="D49" s="17">
        <v>9</v>
      </c>
      <c r="E49" s="16">
        <f>IF(F49&gt;G49,3,IF(F49=G49,1,0))</f>
        <v>1</v>
      </c>
      <c r="F49" s="16"/>
      <c r="G49" s="16"/>
      <c r="H49" s="16">
        <f>IF(G49&gt;F49,3,IF(F49=G49,1,0))</f>
        <v>1</v>
      </c>
      <c r="I49" s="17">
        <v>50</v>
      </c>
      <c r="J49" s="17" t="s">
        <v>17</v>
      </c>
      <c r="K49" s="7"/>
      <c r="L49" s="13"/>
      <c r="M49" s="28" t="s">
        <v>118</v>
      </c>
      <c r="N49" s="17" t="s">
        <v>13</v>
      </c>
      <c r="O49" s="17">
        <v>91</v>
      </c>
      <c r="P49" s="16">
        <f>IF(Q49&gt;R49,3,IF(Q49=R49,1,0))</f>
        <v>1</v>
      </c>
      <c r="Q49" s="16"/>
      <c r="R49" s="16"/>
      <c r="S49" s="16">
        <f>IF(R49&gt;Q49,3,IF(Q49=R49,1,0))</f>
        <v>1</v>
      </c>
      <c r="T49" s="17">
        <v>67</v>
      </c>
      <c r="U49" s="17" t="s">
        <v>4</v>
      </c>
    </row>
    <row r="50" spans="1:22" ht="22" x14ac:dyDescent="0.2">
      <c r="A50" s="1"/>
      <c r="B50" s="28"/>
      <c r="C50" s="17" t="s">
        <v>5</v>
      </c>
      <c r="D50" s="17">
        <v>79</v>
      </c>
      <c r="E50" s="16">
        <f t="shared" ref="E50:E51" si="27">IF(F50&gt;G50,3,IF(F50=G50,1,0))</f>
        <v>1</v>
      </c>
      <c r="F50" s="16"/>
      <c r="G50" s="16"/>
      <c r="H50" s="16">
        <f t="shared" ref="H50:H52" si="28">IF(G50&gt;F50,3,IF(F50=G50,1,0))</f>
        <v>1</v>
      </c>
      <c r="I50" s="17">
        <v>24</v>
      </c>
      <c r="J50" s="17" t="s">
        <v>15</v>
      </c>
      <c r="K50" s="7"/>
      <c r="L50" s="13"/>
      <c r="M50" s="28"/>
      <c r="N50" s="17" t="s">
        <v>20</v>
      </c>
      <c r="O50" s="17">
        <v>34</v>
      </c>
      <c r="P50" s="16">
        <f t="shared" ref="P50:P51" si="29">IF(Q50&gt;R50,3,IF(Q50=R50,1,0))</f>
        <v>1</v>
      </c>
      <c r="Q50" s="16"/>
      <c r="R50" s="16"/>
      <c r="S50" s="16">
        <f t="shared" ref="S50:S51" si="30">IF(R50&gt;Q50,3,IF(Q50=R50,1,0))</f>
        <v>1</v>
      </c>
      <c r="T50" s="17">
        <v>87</v>
      </c>
      <c r="U50" s="17" t="s">
        <v>13</v>
      </c>
    </row>
    <row r="51" spans="1:22" ht="22" x14ac:dyDescent="0.2">
      <c r="A51" s="1"/>
      <c r="B51" s="28"/>
      <c r="C51" s="17" t="s">
        <v>13</v>
      </c>
      <c r="D51" s="18">
        <v>88</v>
      </c>
      <c r="E51" s="16">
        <f t="shared" si="27"/>
        <v>1</v>
      </c>
      <c r="F51" s="16"/>
      <c r="G51" s="16"/>
      <c r="H51" s="16">
        <f t="shared" si="28"/>
        <v>1</v>
      </c>
      <c r="I51" s="17">
        <v>65</v>
      </c>
      <c r="J51" s="17" t="s">
        <v>4</v>
      </c>
      <c r="K51" s="7"/>
      <c r="L51" s="13"/>
      <c r="M51" s="28"/>
      <c r="N51" s="17" t="s">
        <v>17</v>
      </c>
      <c r="O51" s="18">
        <v>52</v>
      </c>
      <c r="P51" s="16">
        <f t="shared" si="29"/>
        <v>1</v>
      </c>
      <c r="Q51" s="16"/>
      <c r="R51" s="16"/>
      <c r="S51" s="16">
        <f t="shared" si="30"/>
        <v>1</v>
      </c>
      <c r="T51" s="17">
        <v>4</v>
      </c>
      <c r="U51" s="17" t="s">
        <v>14</v>
      </c>
    </row>
    <row r="52" spans="1:22" ht="22" x14ac:dyDescent="0.2">
      <c r="A52" s="1"/>
      <c r="B52" s="28"/>
      <c r="C52" s="17" t="s">
        <v>20</v>
      </c>
      <c r="D52" s="17">
        <v>27</v>
      </c>
      <c r="E52" s="16">
        <f>IF(F52&gt;G52,3,IF(F52=G52,1,0))</f>
        <v>1</v>
      </c>
      <c r="F52" s="16"/>
      <c r="G52" s="16"/>
      <c r="H52" s="16">
        <f t="shared" si="28"/>
        <v>1</v>
      </c>
      <c r="I52" s="17">
        <v>5</v>
      </c>
      <c r="J52" s="17" t="s">
        <v>14</v>
      </c>
      <c r="K52" s="7"/>
      <c r="L52" s="13"/>
      <c r="M52" s="28"/>
      <c r="N52" s="17" t="s">
        <v>5</v>
      </c>
      <c r="O52" s="17">
        <v>76</v>
      </c>
      <c r="P52" s="16">
        <f>IF(Q52&gt;R52,3,IF(Q52=R52,1,0))</f>
        <v>1</v>
      </c>
      <c r="Q52" s="16"/>
      <c r="R52" s="16"/>
      <c r="S52" s="16">
        <f>IF(R52&gt;Q52,3,IF(Q52=R52,1,0))</f>
        <v>1</v>
      </c>
      <c r="T52" s="17">
        <v>25</v>
      </c>
      <c r="U52" s="17" t="s">
        <v>15</v>
      </c>
    </row>
    <row r="53" spans="1:22" ht="23" thickBot="1" x14ac:dyDescent="0.25">
      <c r="A53" s="1"/>
      <c r="B53" s="29"/>
      <c r="C53" s="21" t="s">
        <v>14</v>
      </c>
      <c r="D53" s="21">
        <v>12</v>
      </c>
      <c r="E53" s="25">
        <f>IF(F53&gt;G53,3,IF(F53=G53,1,0))</f>
        <v>1</v>
      </c>
      <c r="F53" s="20"/>
      <c r="G53" s="20"/>
      <c r="H53" s="25">
        <f>IF(G53&gt;F53,3,IF(F53=G53,1,0))</f>
        <v>1</v>
      </c>
      <c r="I53" s="21">
        <v>56</v>
      </c>
      <c r="J53" s="21" t="s">
        <v>17</v>
      </c>
      <c r="K53" s="7"/>
      <c r="L53" s="13"/>
      <c r="M53" s="29"/>
      <c r="N53" s="21" t="s">
        <v>13</v>
      </c>
      <c r="O53" s="21">
        <v>85</v>
      </c>
      <c r="P53" s="25">
        <f>IF(Q53&gt;R53,3,IF(Q53=R53,1,0))</f>
        <v>1</v>
      </c>
      <c r="Q53" s="20"/>
      <c r="R53" s="20"/>
      <c r="S53" s="25">
        <f t="shared" ref="S53:S55" si="31">IF(R53&gt;Q53,3,IF(Q53=R53,1,0))</f>
        <v>1</v>
      </c>
      <c r="T53" s="21">
        <v>72</v>
      </c>
      <c r="U53" s="21" t="s">
        <v>4</v>
      </c>
    </row>
    <row r="54" spans="1:22" ht="22" x14ac:dyDescent="0.2">
      <c r="A54" s="1"/>
      <c r="B54" s="30" t="s">
        <v>119</v>
      </c>
      <c r="C54" s="19" t="s">
        <v>5</v>
      </c>
      <c r="D54" s="19">
        <v>73</v>
      </c>
      <c r="E54" s="15">
        <f t="shared" ref="E54:E58" si="32">IF(F54&gt;G54,3,IF(F54=G54,1,0))</f>
        <v>1</v>
      </c>
      <c r="F54" s="15"/>
      <c r="G54" s="15"/>
      <c r="H54" s="15">
        <f t="shared" ref="H54:H55" si="33">IF(G54&gt;F54,3,IF(F54=G54,1,0))</f>
        <v>1</v>
      </c>
      <c r="I54" s="19">
        <v>21</v>
      </c>
      <c r="J54" s="19" t="s">
        <v>15</v>
      </c>
      <c r="K54" s="7"/>
      <c r="L54" s="13"/>
      <c r="M54" s="30" t="s">
        <v>119</v>
      </c>
      <c r="N54" s="19" t="s">
        <v>20</v>
      </c>
      <c r="O54" s="19">
        <v>30</v>
      </c>
      <c r="P54" s="15">
        <f t="shared" ref="P54:P58" si="34">IF(Q54&gt;R54,3,IF(Q54=R54,1,0))</f>
        <v>1</v>
      </c>
      <c r="Q54" s="15"/>
      <c r="R54" s="15"/>
      <c r="S54" s="15">
        <f t="shared" si="31"/>
        <v>1</v>
      </c>
      <c r="T54" s="19">
        <v>61</v>
      </c>
      <c r="U54" s="19" t="s">
        <v>4</v>
      </c>
    </row>
    <row r="55" spans="1:22" ht="22" x14ac:dyDescent="0.2">
      <c r="A55" s="1"/>
      <c r="B55" s="31"/>
      <c r="C55" s="17" t="s">
        <v>13</v>
      </c>
      <c r="D55" s="17">
        <v>89</v>
      </c>
      <c r="E55" s="16">
        <f t="shared" si="32"/>
        <v>1</v>
      </c>
      <c r="F55" s="16"/>
      <c r="G55" s="16"/>
      <c r="H55" s="16">
        <f t="shared" si="33"/>
        <v>1</v>
      </c>
      <c r="I55" s="17">
        <v>64</v>
      </c>
      <c r="J55" s="17" t="s">
        <v>4</v>
      </c>
      <c r="K55" s="7"/>
      <c r="L55" s="13"/>
      <c r="M55" s="31"/>
      <c r="N55" s="17" t="s">
        <v>17</v>
      </c>
      <c r="O55" s="17">
        <v>54</v>
      </c>
      <c r="P55" s="16">
        <f t="shared" si="34"/>
        <v>1</v>
      </c>
      <c r="Q55" s="16"/>
      <c r="R55" s="16"/>
      <c r="S55" s="16">
        <f t="shared" si="31"/>
        <v>1</v>
      </c>
      <c r="T55" s="17">
        <v>7</v>
      </c>
      <c r="U55" s="17" t="s">
        <v>14</v>
      </c>
    </row>
    <row r="56" spans="1:22" ht="22" x14ac:dyDescent="0.2">
      <c r="B56" s="31"/>
      <c r="C56" s="17" t="s">
        <v>20</v>
      </c>
      <c r="D56" s="17">
        <v>28</v>
      </c>
      <c r="E56" s="16">
        <f t="shared" si="32"/>
        <v>1</v>
      </c>
      <c r="F56" s="16"/>
      <c r="G56" s="16"/>
      <c r="H56" s="16">
        <f>IF(G56&gt;F56,3,IF(F56=G56,1,0))</f>
        <v>1</v>
      </c>
      <c r="I56" s="17">
        <v>14</v>
      </c>
      <c r="J56" s="17" t="s">
        <v>15</v>
      </c>
      <c r="K56" s="7"/>
      <c r="L56" s="13"/>
      <c r="M56" s="31"/>
      <c r="N56" s="17" t="s">
        <v>15</v>
      </c>
      <c r="O56" s="17">
        <v>19</v>
      </c>
      <c r="P56" s="16">
        <f t="shared" si="34"/>
        <v>1</v>
      </c>
      <c r="Q56" s="16"/>
      <c r="R56" s="16"/>
      <c r="S56" s="16">
        <f>IF(R56&gt;Q56,3,IF(Q56=R56,1,0))</f>
        <v>1</v>
      </c>
      <c r="T56" s="17">
        <v>81</v>
      </c>
      <c r="U56" s="17" t="s">
        <v>5</v>
      </c>
    </row>
    <row r="57" spans="1:22" ht="22" x14ac:dyDescent="0.2">
      <c r="B57" s="31"/>
      <c r="C57" s="17" t="s">
        <v>17</v>
      </c>
      <c r="D57" s="17">
        <v>58</v>
      </c>
      <c r="E57" s="16">
        <f t="shared" si="32"/>
        <v>1</v>
      </c>
      <c r="F57" s="16"/>
      <c r="G57" s="16"/>
      <c r="H57" s="16">
        <f t="shared" ref="H57:H58" si="35">IF(G57&gt;F57,3,IF(F57=G57,1,0))</f>
        <v>1</v>
      </c>
      <c r="I57" s="17">
        <v>2</v>
      </c>
      <c r="J57" s="17" t="s">
        <v>14</v>
      </c>
      <c r="K57" s="7"/>
      <c r="L57" s="13"/>
      <c r="M57" s="31"/>
      <c r="N57" s="17" t="s">
        <v>13</v>
      </c>
      <c r="O57" s="17">
        <v>90</v>
      </c>
      <c r="P57" s="16">
        <f t="shared" si="34"/>
        <v>1</v>
      </c>
      <c r="Q57" s="16"/>
      <c r="R57" s="16"/>
      <c r="S57" s="16">
        <f t="shared" ref="S57:S58" si="36">IF(R57&gt;Q57,3,IF(Q57=R57,1,0))</f>
        <v>1</v>
      </c>
      <c r="T57" s="17">
        <v>33</v>
      </c>
      <c r="U57" s="17" t="s">
        <v>20</v>
      </c>
    </row>
    <row r="58" spans="1:22" ht="22" x14ac:dyDescent="0.2">
      <c r="B58" s="31"/>
      <c r="C58" s="17" t="s">
        <v>15</v>
      </c>
      <c r="D58" s="17">
        <v>16</v>
      </c>
      <c r="E58" s="16">
        <f t="shared" si="32"/>
        <v>1</v>
      </c>
      <c r="F58" s="16"/>
      <c r="G58" s="16"/>
      <c r="H58" s="16">
        <f t="shared" si="35"/>
        <v>1</v>
      </c>
      <c r="I58" s="17">
        <v>78</v>
      </c>
      <c r="J58" s="17" t="s">
        <v>5</v>
      </c>
      <c r="K58" s="7"/>
      <c r="L58" s="13"/>
      <c r="M58" s="31"/>
      <c r="N58" s="17" t="s">
        <v>20</v>
      </c>
      <c r="O58" s="17">
        <v>37</v>
      </c>
      <c r="P58" s="16">
        <f t="shared" si="34"/>
        <v>1</v>
      </c>
      <c r="Q58" s="16"/>
      <c r="R58" s="16"/>
      <c r="S58" s="16">
        <f t="shared" si="36"/>
        <v>1</v>
      </c>
      <c r="T58" s="17">
        <v>70</v>
      </c>
      <c r="U58" s="17" t="s">
        <v>4</v>
      </c>
    </row>
    <row r="59" spans="1:22" x14ac:dyDescent="0.2">
      <c r="B59" s="6"/>
      <c r="C59" s="6"/>
      <c r="D59" s="5"/>
      <c r="E59" s="5"/>
      <c r="F59" s="5"/>
      <c r="G59" s="5"/>
      <c r="H59" s="5"/>
      <c r="I59" s="5"/>
      <c r="J59" s="5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2">
      <c r="B60" s="6"/>
      <c r="C60" s="6"/>
      <c r="D60" s="5"/>
      <c r="E60" s="5"/>
      <c r="F60" s="5"/>
      <c r="G60" s="5"/>
      <c r="H60" s="5"/>
      <c r="I60" s="5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27" x14ac:dyDescent="0.35">
      <c r="B61" s="26" t="s">
        <v>39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5"/>
    </row>
    <row r="62" spans="1:22" ht="22" x14ac:dyDescent="0.2">
      <c r="B62" s="27" t="s">
        <v>29</v>
      </c>
      <c r="C62" s="27"/>
      <c r="D62" s="27"/>
      <c r="E62" s="27"/>
      <c r="F62" s="27"/>
      <c r="G62" s="27"/>
      <c r="H62" s="27"/>
      <c r="I62" s="27"/>
      <c r="J62" s="27"/>
      <c r="K62" s="8"/>
      <c r="L62" s="9"/>
      <c r="M62" s="27" t="s">
        <v>30</v>
      </c>
      <c r="N62" s="27"/>
      <c r="O62" s="27"/>
      <c r="P62" s="27"/>
      <c r="Q62" s="27"/>
      <c r="R62" s="27"/>
      <c r="S62" s="27"/>
      <c r="T62" s="27"/>
      <c r="U62" s="27"/>
      <c r="V62" s="10"/>
    </row>
    <row r="63" spans="1:22" x14ac:dyDescent="0.2">
      <c r="B63" s="11" t="s">
        <v>31</v>
      </c>
      <c r="C63" s="11" t="s">
        <v>2</v>
      </c>
      <c r="D63" s="11" t="s">
        <v>123</v>
      </c>
      <c r="E63" s="11" t="s">
        <v>127</v>
      </c>
      <c r="F63" s="11" t="s">
        <v>124</v>
      </c>
      <c r="G63" s="11" t="s">
        <v>125</v>
      </c>
      <c r="H63" s="11" t="s">
        <v>128</v>
      </c>
      <c r="I63" s="11" t="s">
        <v>126</v>
      </c>
      <c r="J63" s="11" t="s">
        <v>2</v>
      </c>
      <c r="K63" s="7"/>
      <c r="L63" s="7"/>
      <c r="M63" s="11" t="s">
        <v>31</v>
      </c>
      <c r="N63" s="11" t="s">
        <v>2</v>
      </c>
      <c r="O63" s="11" t="s">
        <v>123</v>
      </c>
      <c r="P63" s="11" t="s">
        <v>127</v>
      </c>
      <c r="Q63" s="11" t="s">
        <v>124</v>
      </c>
      <c r="R63" s="11" t="s">
        <v>125</v>
      </c>
      <c r="S63" s="11" t="s">
        <v>128</v>
      </c>
      <c r="T63" s="11" t="s">
        <v>126</v>
      </c>
      <c r="U63" s="11" t="s">
        <v>2</v>
      </c>
      <c r="V63" s="5"/>
    </row>
    <row r="64" spans="1:22" ht="22" x14ac:dyDescent="0.2">
      <c r="A64" s="1"/>
      <c r="B64" s="28" t="s">
        <v>113</v>
      </c>
      <c r="C64" s="17" t="s">
        <v>17</v>
      </c>
      <c r="D64" s="17">
        <v>56</v>
      </c>
      <c r="E64" s="16">
        <f>IF(F64&gt;G64,3,IF(F64=G64,1,0))</f>
        <v>1</v>
      </c>
      <c r="F64" s="16"/>
      <c r="G64" s="16"/>
      <c r="H64" s="16">
        <f>IF(G64&gt;F64,3,IF(F64=G64,1,0))</f>
        <v>1</v>
      </c>
      <c r="I64" s="17">
        <v>89</v>
      </c>
      <c r="J64" s="17" t="s">
        <v>13</v>
      </c>
      <c r="K64" s="7"/>
      <c r="L64" s="13"/>
      <c r="M64" s="28" t="s">
        <v>113</v>
      </c>
      <c r="N64" s="17" t="s">
        <v>20</v>
      </c>
      <c r="O64" s="17">
        <v>37</v>
      </c>
      <c r="P64" s="16">
        <f>IF(Q64&gt;R64,3,IF(Q64=R64,1,0))</f>
        <v>1</v>
      </c>
      <c r="Q64" s="16"/>
      <c r="R64" s="16"/>
      <c r="S64" s="16">
        <f>IF(R64&gt;Q64,3,IF(Q64=R64,1,0))</f>
        <v>1</v>
      </c>
      <c r="T64" s="17">
        <v>2</v>
      </c>
      <c r="U64" s="17" t="s">
        <v>14</v>
      </c>
    </row>
    <row r="65" spans="1:22" ht="22" x14ac:dyDescent="0.2">
      <c r="A65" s="1"/>
      <c r="B65" s="28"/>
      <c r="C65" s="17" t="s">
        <v>4</v>
      </c>
      <c r="D65" s="17">
        <v>67</v>
      </c>
      <c r="E65" s="16">
        <f t="shared" ref="E65:E66" si="37">IF(F65&gt;G65,3,IF(F65=G65,1,0))</f>
        <v>1</v>
      </c>
      <c r="F65" s="16"/>
      <c r="G65" s="16"/>
      <c r="H65" s="16">
        <f t="shared" ref="H65:H67" si="38">IF(G65&gt;F65,3,IF(F65=G65,1,0))</f>
        <v>1</v>
      </c>
      <c r="I65" s="17">
        <v>73</v>
      </c>
      <c r="J65" s="17" t="s">
        <v>5</v>
      </c>
      <c r="K65" s="7"/>
      <c r="L65" s="13"/>
      <c r="M65" s="28"/>
      <c r="N65" s="17" t="s">
        <v>15</v>
      </c>
      <c r="O65" s="17">
        <v>16</v>
      </c>
      <c r="P65" s="16">
        <f t="shared" ref="P65:P66" si="39">IF(Q65&gt;R65,3,IF(Q65=R65,1,0))</f>
        <v>1</v>
      </c>
      <c r="Q65" s="16"/>
      <c r="R65" s="16"/>
      <c r="S65" s="16">
        <f t="shared" ref="S65:S66" si="40">IF(R65&gt;Q65,3,IF(Q65=R65,1,0))</f>
        <v>1</v>
      </c>
      <c r="T65" s="17">
        <v>90</v>
      </c>
      <c r="U65" s="17" t="s">
        <v>13</v>
      </c>
    </row>
    <row r="66" spans="1:22" ht="22" x14ac:dyDescent="0.2">
      <c r="A66" s="1"/>
      <c r="B66" s="28"/>
      <c r="C66" s="17" t="s">
        <v>20</v>
      </c>
      <c r="D66" s="18">
        <v>27</v>
      </c>
      <c r="E66" s="16">
        <f t="shared" si="37"/>
        <v>1</v>
      </c>
      <c r="F66" s="16"/>
      <c r="G66" s="16"/>
      <c r="H66" s="16">
        <f t="shared" si="38"/>
        <v>1</v>
      </c>
      <c r="I66" s="17">
        <v>7</v>
      </c>
      <c r="J66" s="17" t="s">
        <v>14</v>
      </c>
      <c r="K66" s="7"/>
      <c r="L66" s="13"/>
      <c r="M66" s="28"/>
      <c r="N66" s="17" t="s">
        <v>13</v>
      </c>
      <c r="O66" s="18">
        <v>87</v>
      </c>
      <c r="P66" s="16">
        <f t="shared" si="39"/>
        <v>1</v>
      </c>
      <c r="Q66" s="16"/>
      <c r="R66" s="16"/>
      <c r="S66" s="16">
        <f t="shared" si="40"/>
        <v>1</v>
      </c>
      <c r="T66" s="17">
        <v>50</v>
      </c>
      <c r="U66" s="17" t="s">
        <v>17</v>
      </c>
    </row>
    <row r="67" spans="1:22" ht="22" x14ac:dyDescent="0.2">
      <c r="A67" s="1"/>
      <c r="B67" s="28"/>
      <c r="C67" s="17" t="s">
        <v>15</v>
      </c>
      <c r="D67" s="17">
        <v>21</v>
      </c>
      <c r="E67" s="16">
        <f>IF(F67&gt;G67,3,IF(F67=G67,1,0))</f>
        <v>1</v>
      </c>
      <c r="F67" s="16"/>
      <c r="G67" s="16"/>
      <c r="H67" s="16">
        <f t="shared" si="38"/>
        <v>1</v>
      </c>
      <c r="I67" s="17">
        <v>5</v>
      </c>
      <c r="J67" s="17" t="s">
        <v>14</v>
      </c>
      <c r="K67" s="7"/>
      <c r="L67" s="13"/>
      <c r="M67" s="28"/>
      <c r="N67" s="17" t="s">
        <v>4</v>
      </c>
      <c r="O67" s="17">
        <v>70</v>
      </c>
      <c r="P67" s="16">
        <f>IF(Q67&gt;R67,3,IF(Q67=R67,1,0))</f>
        <v>1</v>
      </c>
      <c r="Q67" s="16"/>
      <c r="R67" s="16"/>
      <c r="S67" s="16">
        <f>IF(R67&gt;Q67,3,IF(Q67=R67,1,0))</f>
        <v>1</v>
      </c>
      <c r="T67" s="17">
        <v>76</v>
      </c>
      <c r="U67" s="17" t="s">
        <v>5</v>
      </c>
    </row>
    <row r="68" spans="1:22" ht="23" thickBot="1" x14ac:dyDescent="0.25">
      <c r="A68" s="1"/>
      <c r="B68" s="29"/>
      <c r="C68" s="21" t="s">
        <v>13</v>
      </c>
      <c r="D68" s="21">
        <v>91</v>
      </c>
      <c r="E68" s="25">
        <f>IF(F68&gt;G68,3,IF(F68=G68,1,0))</f>
        <v>1</v>
      </c>
      <c r="F68" s="20"/>
      <c r="G68" s="20"/>
      <c r="H68" s="25">
        <f>IF(G68&gt;F68,3,IF(F68=G68,1,0))</f>
        <v>1</v>
      </c>
      <c r="I68" s="21">
        <v>52</v>
      </c>
      <c r="J68" s="21" t="s">
        <v>17</v>
      </c>
      <c r="K68" s="7"/>
      <c r="L68" s="13"/>
      <c r="M68" s="29"/>
      <c r="N68" s="21" t="s">
        <v>20</v>
      </c>
      <c r="O68" s="21">
        <v>28</v>
      </c>
      <c r="P68" s="25">
        <f>IF(Q68&gt;R68,3,IF(Q68=R68,1,0))</f>
        <v>1</v>
      </c>
      <c r="Q68" s="20"/>
      <c r="R68" s="20"/>
      <c r="S68" s="25">
        <f t="shared" ref="S68:S70" si="41">IF(R68&gt;Q68,3,IF(Q68=R68,1,0))</f>
        <v>1</v>
      </c>
      <c r="T68" s="21">
        <v>12</v>
      </c>
      <c r="U68" s="21" t="s">
        <v>14</v>
      </c>
    </row>
    <row r="69" spans="1:22" ht="22" x14ac:dyDescent="0.2">
      <c r="A69" s="1"/>
      <c r="B69" s="30" t="s">
        <v>120</v>
      </c>
      <c r="C69" s="19" t="s">
        <v>5</v>
      </c>
      <c r="D69" s="19">
        <v>81</v>
      </c>
      <c r="E69" s="15">
        <f t="shared" ref="E69:E73" si="42">IF(F69&gt;G69,3,IF(F69=G69,1,0))</f>
        <v>1</v>
      </c>
      <c r="F69" s="15"/>
      <c r="G69" s="15"/>
      <c r="H69" s="15">
        <f t="shared" ref="H69:H70" si="43">IF(G69&gt;F69,3,IF(F69=G69,1,0))</f>
        <v>1</v>
      </c>
      <c r="I69" s="19">
        <v>64</v>
      </c>
      <c r="J69" s="19" t="s">
        <v>4</v>
      </c>
      <c r="K69" s="7"/>
      <c r="L69" s="13"/>
      <c r="M69" s="30" t="s">
        <v>120</v>
      </c>
      <c r="N69" s="19" t="s">
        <v>15</v>
      </c>
      <c r="O69" s="19">
        <v>25</v>
      </c>
      <c r="P69" s="15">
        <f t="shared" ref="P69:P73" si="44">IF(Q69&gt;R69,3,IF(Q69=R69,1,0))</f>
        <v>1</v>
      </c>
      <c r="Q69" s="15"/>
      <c r="R69" s="15"/>
      <c r="S69" s="15">
        <f t="shared" si="41"/>
        <v>1</v>
      </c>
      <c r="T69" s="19">
        <v>72</v>
      </c>
      <c r="U69" s="19" t="s">
        <v>4</v>
      </c>
    </row>
    <row r="70" spans="1:22" ht="22" x14ac:dyDescent="0.2">
      <c r="A70" s="1"/>
      <c r="B70" s="31"/>
      <c r="C70" s="17" t="s">
        <v>20</v>
      </c>
      <c r="D70" s="17">
        <v>30</v>
      </c>
      <c r="E70" s="16">
        <f t="shared" si="42"/>
        <v>1</v>
      </c>
      <c r="F70" s="16"/>
      <c r="G70" s="16"/>
      <c r="H70" s="16">
        <f t="shared" si="43"/>
        <v>1</v>
      </c>
      <c r="I70" s="17">
        <v>4</v>
      </c>
      <c r="J70" s="17" t="s">
        <v>14</v>
      </c>
      <c r="K70" s="7"/>
      <c r="L70" s="13"/>
      <c r="M70" s="31"/>
      <c r="N70" s="17" t="s">
        <v>13</v>
      </c>
      <c r="O70" s="17">
        <v>85</v>
      </c>
      <c r="P70" s="16">
        <f t="shared" si="44"/>
        <v>1</v>
      </c>
      <c r="Q70" s="16"/>
      <c r="R70" s="16"/>
      <c r="S70" s="16">
        <f t="shared" si="41"/>
        <v>1</v>
      </c>
      <c r="T70" s="17">
        <v>54</v>
      </c>
      <c r="U70" s="17" t="s">
        <v>17</v>
      </c>
    </row>
    <row r="71" spans="1:22" ht="22" x14ac:dyDescent="0.2">
      <c r="B71" s="31"/>
      <c r="C71" s="17" t="s">
        <v>15</v>
      </c>
      <c r="D71" s="17">
        <v>24</v>
      </c>
      <c r="E71" s="16">
        <f t="shared" si="42"/>
        <v>1</v>
      </c>
      <c r="F71" s="16"/>
      <c r="G71" s="16"/>
      <c r="H71" s="16">
        <f>IF(G71&gt;F71,3,IF(F71=G71,1,0))</f>
        <v>1</v>
      </c>
      <c r="I71" s="17">
        <v>34</v>
      </c>
      <c r="J71" s="17" t="s">
        <v>20</v>
      </c>
      <c r="K71" s="7"/>
      <c r="L71" s="13"/>
      <c r="M71" s="31"/>
      <c r="N71" s="17" t="s">
        <v>4</v>
      </c>
      <c r="O71" s="17">
        <v>61</v>
      </c>
      <c r="P71" s="16">
        <f t="shared" si="44"/>
        <v>1</v>
      </c>
      <c r="Q71" s="16"/>
      <c r="R71" s="16"/>
      <c r="S71" s="16">
        <f>IF(R71&gt;Q71,3,IF(Q71=R71,1,0))</f>
        <v>1</v>
      </c>
      <c r="T71" s="17">
        <v>78</v>
      </c>
      <c r="U71" s="17" t="s">
        <v>5</v>
      </c>
    </row>
    <row r="72" spans="1:22" ht="22" x14ac:dyDescent="0.2">
      <c r="B72" s="31"/>
      <c r="C72" s="17" t="s">
        <v>17</v>
      </c>
      <c r="D72" s="17">
        <v>58</v>
      </c>
      <c r="E72" s="16">
        <f t="shared" si="42"/>
        <v>1</v>
      </c>
      <c r="F72" s="16"/>
      <c r="G72" s="16"/>
      <c r="H72" s="16">
        <f t="shared" ref="H72:H73" si="45">IF(G72&gt;F72,3,IF(F72=G72,1,0))</f>
        <v>1</v>
      </c>
      <c r="I72" s="17">
        <v>88</v>
      </c>
      <c r="J72" s="17" t="s">
        <v>13</v>
      </c>
      <c r="K72" s="7"/>
      <c r="L72" s="13"/>
      <c r="M72" s="31"/>
      <c r="N72" s="17" t="s">
        <v>20</v>
      </c>
      <c r="O72" s="17">
        <v>33</v>
      </c>
      <c r="P72" s="16">
        <f t="shared" si="44"/>
        <v>1</v>
      </c>
      <c r="Q72" s="16"/>
      <c r="R72" s="16"/>
      <c r="S72" s="16">
        <f t="shared" ref="S72:S73" si="46">IF(R72&gt;Q72,3,IF(Q72=R72,1,0))</f>
        <v>1</v>
      </c>
      <c r="T72" s="17">
        <v>19</v>
      </c>
      <c r="U72" s="17" t="s">
        <v>15</v>
      </c>
    </row>
    <row r="73" spans="1:22" ht="22" x14ac:dyDescent="0.2">
      <c r="B73" s="31"/>
      <c r="C73" s="17" t="s">
        <v>5</v>
      </c>
      <c r="D73" s="17">
        <v>79</v>
      </c>
      <c r="E73" s="16">
        <f t="shared" si="42"/>
        <v>1</v>
      </c>
      <c r="F73" s="16"/>
      <c r="G73" s="16"/>
      <c r="H73" s="16">
        <f t="shared" si="45"/>
        <v>1</v>
      </c>
      <c r="I73" s="17">
        <v>65</v>
      </c>
      <c r="J73" s="17" t="s">
        <v>4</v>
      </c>
      <c r="K73" s="7"/>
      <c r="L73" s="13"/>
      <c r="M73" s="31"/>
      <c r="N73" s="17" t="s">
        <v>15</v>
      </c>
      <c r="O73" s="17">
        <v>14</v>
      </c>
      <c r="P73" s="16">
        <f t="shared" si="44"/>
        <v>1</v>
      </c>
      <c r="Q73" s="16"/>
      <c r="R73" s="16"/>
      <c r="S73" s="16">
        <f t="shared" si="46"/>
        <v>1</v>
      </c>
      <c r="T73" s="17">
        <v>9</v>
      </c>
      <c r="U73" s="17" t="s">
        <v>14</v>
      </c>
    </row>
    <row r="74" spans="1:22" x14ac:dyDescent="0.2">
      <c r="B74" s="6"/>
      <c r="C74" s="6"/>
      <c r="D74" s="5"/>
      <c r="E74" s="5"/>
      <c r="F74" s="5"/>
      <c r="G74" s="5"/>
      <c r="H74" s="5"/>
      <c r="I74" s="5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2">
      <c r="B75" s="6"/>
      <c r="C75" s="6"/>
      <c r="D75" s="5"/>
      <c r="E75" s="5"/>
      <c r="F75" s="5"/>
      <c r="G75" s="5"/>
      <c r="H75" s="5"/>
      <c r="I75" s="5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27" x14ac:dyDescent="0.35">
      <c r="B76" s="26" t="s">
        <v>40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5"/>
    </row>
    <row r="77" spans="1:22" ht="22" x14ac:dyDescent="0.2">
      <c r="B77" s="27" t="s">
        <v>29</v>
      </c>
      <c r="C77" s="27"/>
      <c r="D77" s="27"/>
      <c r="E77" s="27"/>
      <c r="F77" s="27"/>
      <c r="G77" s="27"/>
      <c r="H77" s="27"/>
      <c r="I77" s="27"/>
      <c r="J77" s="27"/>
      <c r="K77" s="8"/>
      <c r="L77" s="9"/>
      <c r="M77" s="27" t="s">
        <v>29</v>
      </c>
      <c r="N77" s="27"/>
      <c r="O77" s="27"/>
      <c r="P77" s="27"/>
      <c r="Q77" s="27"/>
      <c r="R77" s="27"/>
      <c r="S77" s="27"/>
      <c r="T77" s="27"/>
      <c r="U77" s="27"/>
      <c r="V77" s="10"/>
    </row>
    <row r="78" spans="1:22" x14ac:dyDescent="0.2">
      <c r="B78" s="11" t="s">
        <v>31</v>
      </c>
      <c r="C78" s="11" t="s">
        <v>2</v>
      </c>
      <c r="D78" s="11" t="s">
        <v>123</v>
      </c>
      <c r="E78" s="11" t="s">
        <v>127</v>
      </c>
      <c r="F78" s="11" t="s">
        <v>124</v>
      </c>
      <c r="G78" s="11" t="s">
        <v>125</v>
      </c>
      <c r="H78" s="11" t="s">
        <v>128</v>
      </c>
      <c r="I78" s="11" t="s">
        <v>126</v>
      </c>
      <c r="J78" s="11" t="s">
        <v>2</v>
      </c>
      <c r="K78" s="7"/>
      <c r="L78" s="7"/>
      <c r="M78" s="11" t="s">
        <v>31</v>
      </c>
      <c r="N78" s="11" t="s">
        <v>2</v>
      </c>
      <c r="O78" s="11" t="s">
        <v>123</v>
      </c>
      <c r="P78" s="11" t="s">
        <v>127</v>
      </c>
      <c r="Q78" s="11" t="s">
        <v>124</v>
      </c>
      <c r="R78" s="11" t="s">
        <v>125</v>
      </c>
      <c r="S78" s="11" t="s">
        <v>128</v>
      </c>
      <c r="T78" s="11" t="s">
        <v>126</v>
      </c>
      <c r="U78" s="11" t="s">
        <v>2</v>
      </c>
      <c r="V78" s="5"/>
    </row>
    <row r="79" spans="1:22" ht="22" x14ac:dyDescent="0.2">
      <c r="A79" s="1"/>
      <c r="B79" s="28" t="s">
        <v>115</v>
      </c>
      <c r="C79" s="17" t="s">
        <v>17</v>
      </c>
      <c r="D79" s="17">
        <v>58</v>
      </c>
      <c r="E79" s="16">
        <f>IF(F79&gt;G79,3,IF(F79=G79,1,0))</f>
        <v>1</v>
      </c>
      <c r="F79" s="16"/>
      <c r="G79" s="16"/>
      <c r="H79" s="16">
        <f>IF(G79&gt;F79,3,IF(F79=G79,1,0))</f>
        <v>1</v>
      </c>
      <c r="I79" s="17">
        <v>79</v>
      </c>
      <c r="J79" s="17" t="s">
        <v>5</v>
      </c>
      <c r="K79" s="7"/>
      <c r="L79" s="13"/>
      <c r="M79" s="28" t="s">
        <v>115</v>
      </c>
      <c r="N79" s="17" t="s">
        <v>20</v>
      </c>
      <c r="O79" s="17">
        <v>33</v>
      </c>
      <c r="P79" s="16">
        <f>IF(Q79&gt;R79,3,IF(Q79=R79,1,0))</f>
        <v>1</v>
      </c>
      <c r="Q79" s="16"/>
      <c r="R79" s="16"/>
      <c r="S79" s="16">
        <f>IF(R79&gt;Q79,3,IF(Q79=R79,1,0))</f>
        <v>1</v>
      </c>
      <c r="T79" s="17">
        <v>14</v>
      </c>
      <c r="U79" s="17" t="s">
        <v>15</v>
      </c>
    </row>
    <row r="80" spans="1:22" ht="22" x14ac:dyDescent="0.2">
      <c r="A80" s="1"/>
      <c r="B80" s="28"/>
      <c r="C80" s="17" t="s">
        <v>14</v>
      </c>
      <c r="D80" s="17">
        <v>2</v>
      </c>
      <c r="E80" s="16">
        <f t="shared" ref="E80:E81" si="47">IF(F80&gt;G80,3,IF(F80=G80,1,0))</f>
        <v>1</v>
      </c>
      <c r="F80" s="16"/>
      <c r="G80" s="16"/>
      <c r="H80" s="16">
        <f t="shared" ref="H80:H82" si="48">IF(G80&gt;F80,3,IF(F80=G80,1,0))</f>
        <v>1</v>
      </c>
      <c r="I80" s="17">
        <v>87</v>
      </c>
      <c r="J80" s="17" t="s">
        <v>13</v>
      </c>
      <c r="K80" s="7"/>
      <c r="L80" s="13"/>
      <c r="M80" s="28"/>
      <c r="N80" s="17" t="s">
        <v>4</v>
      </c>
      <c r="O80" s="17">
        <v>65</v>
      </c>
      <c r="P80" s="16">
        <f t="shared" ref="P80:P81" si="49">IF(Q80&gt;R80,3,IF(Q80=R80,1,0))</f>
        <v>1</v>
      </c>
      <c r="Q80" s="16"/>
      <c r="R80" s="16"/>
      <c r="S80" s="16">
        <f t="shared" ref="S80:S81" si="50">IF(R80&gt;Q80,3,IF(Q80=R80,1,0))</f>
        <v>1</v>
      </c>
      <c r="T80" s="17">
        <v>19</v>
      </c>
      <c r="U80" s="17" t="s">
        <v>15</v>
      </c>
    </row>
    <row r="81" spans="1:22" ht="22" customHeight="1" x14ac:dyDescent="0.2">
      <c r="A81" s="1"/>
      <c r="B81" s="28"/>
      <c r="C81" s="17" t="s">
        <v>20</v>
      </c>
      <c r="D81" s="18">
        <v>37</v>
      </c>
      <c r="E81" s="16">
        <f t="shared" si="47"/>
        <v>1</v>
      </c>
      <c r="F81" s="16"/>
      <c r="G81" s="16"/>
      <c r="H81" s="16">
        <f t="shared" si="48"/>
        <v>1</v>
      </c>
      <c r="I81" s="17">
        <v>21</v>
      </c>
      <c r="J81" s="17" t="s">
        <v>15</v>
      </c>
      <c r="K81" s="7"/>
      <c r="L81" s="13"/>
      <c r="M81" s="28"/>
      <c r="N81" s="17" t="s">
        <v>17</v>
      </c>
      <c r="O81" s="18">
        <v>52</v>
      </c>
      <c r="P81" s="16">
        <f t="shared" si="49"/>
        <v>1</v>
      </c>
      <c r="Q81" s="16"/>
      <c r="R81" s="16"/>
      <c r="S81" s="16">
        <f t="shared" si="50"/>
        <v>1</v>
      </c>
      <c r="T81" s="17">
        <v>78</v>
      </c>
      <c r="U81" s="17" t="s">
        <v>5</v>
      </c>
    </row>
    <row r="82" spans="1:22" ht="22" x14ac:dyDescent="0.2">
      <c r="A82" s="1"/>
      <c r="B82" s="28"/>
      <c r="C82" s="17" t="s">
        <v>4</v>
      </c>
      <c r="D82" s="17">
        <v>64</v>
      </c>
      <c r="E82" s="16">
        <f>IF(F82&gt;G82,3,IF(F82=G82,1,0))</f>
        <v>1</v>
      </c>
      <c r="F82" s="16"/>
      <c r="G82" s="16"/>
      <c r="H82" s="16">
        <f t="shared" si="48"/>
        <v>1</v>
      </c>
      <c r="I82" s="17">
        <v>12</v>
      </c>
      <c r="J82" s="17" t="s">
        <v>14</v>
      </c>
      <c r="K82" s="7"/>
      <c r="L82" s="13"/>
      <c r="M82" s="28"/>
      <c r="N82" s="17" t="s">
        <v>14</v>
      </c>
      <c r="O82" s="17">
        <v>4</v>
      </c>
      <c r="P82" s="16">
        <f>IF(Q82&gt;R82,3,IF(Q82=R82,1,0))</f>
        <v>1</v>
      </c>
      <c r="Q82" s="16"/>
      <c r="R82" s="16"/>
      <c r="S82" s="16">
        <f>IF(R82&gt;Q82,3,IF(Q82=R82,1,0))</f>
        <v>1</v>
      </c>
      <c r="T82" s="17">
        <v>88</v>
      </c>
      <c r="U82" s="17" t="s">
        <v>13</v>
      </c>
    </row>
    <row r="83" spans="1:22" ht="23" thickBot="1" x14ac:dyDescent="0.25">
      <c r="A83" s="1"/>
      <c r="B83" s="29"/>
      <c r="C83" s="21" t="s">
        <v>17</v>
      </c>
      <c r="D83" s="21">
        <v>56</v>
      </c>
      <c r="E83" s="25">
        <f>IF(F83&gt;G83,3,IF(F83=G83,1,0))</f>
        <v>1</v>
      </c>
      <c r="F83" s="20"/>
      <c r="G83" s="20"/>
      <c r="H83" s="25">
        <f>IF(G83&gt;F83,3,IF(F83=G83,1,0))</f>
        <v>1</v>
      </c>
      <c r="I83" s="21">
        <v>73</v>
      </c>
      <c r="J83" s="21" t="s">
        <v>5</v>
      </c>
      <c r="K83" s="7"/>
      <c r="L83" s="13"/>
      <c r="M83" s="29"/>
      <c r="N83" s="21" t="s">
        <v>20</v>
      </c>
      <c r="O83" s="21">
        <v>27</v>
      </c>
      <c r="P83" s="25">
        <f>IF(Q83&gt;R83,3,IF(Q83=R83,1,0))</f>
        <v>1</v>
      </c>
      <c r="Q83" s="20"/>
      <c r="R83" s="20"/>
      <c r="S83" s="25">
        <f t="shared" ref="S83:S85" si="51">IF(R83&gt;Q83,3,IF(Q83=R83,1,0))</f>
        <v>1</v>
      </c>
      <c r="T83" s="21">
        <v>24</v>
      </c>
      <c r="U83" s="21" t="s">
        <v>15</v>
      </c>
    </row>
    <row r="84" spans="1:22" ht="22" x14ac:dyDescent="0.2">
      <c r="A84" s="1"/>
      <c r="B84" s="30" t="s">
        <v>114</v>
      </c>
      <c r="C84" s="19" t="s">
        <v>14</v>
      </c>
      <c r="D84" s="19">
        <v>7</v>
      </c>
      <c r="E84" s="15">
        <f t="shared" ref="E84:E88" si="52">IF(F84&gt;G84,3,IF(F84=G84,1,0))</f>
        <v>1</v>
      </c>
      <c r="F84" s="15"/>
      <c r="G84" s="15"/>
      <c r="H84" s="15">
        <f t="shared" ref="H84:H85" si="53">IF(G84&gt;F84,3,IF(F84=G84,1,0))</f>
        <v>1</v>
      </c>
      <c r="I84" s="19">
        <v>90</v>
      </c>
      <c r="J84" s="19" t="s">
        <v>13</v>
      </c>
      <c r="K84" s="7"/>
      <c r="L84" s="13"/>
      <c r="M84" s="30" t="s">
        <v>114</v>
      </c>
      <c r="N84" s="19" t="s">
        <v>4</v>
      </c>
      <c r="O84" s="19">
        <v>72</v>
      </c>
      <c r="P84" s="15">
        <f t="shared" ref="P84:P88" si="54">IF(Q84&gt;R84,3,IF(Q84=R84,1,0))</f>
        <v>1</v>
      </c>
      <c r="Q84" s="15"/>
      <c r="R84" s="15"/>
      <c r="S84" s="15">
        <f t="shared" si="51"/>
        <v>1</v>
      </c>
      <c r="T84" s="19">
        <v>91</v>
      </c>
      <c r="U84" s="19" t="s">
        <v>13</v>
      </c>
    </row>
    <row r="85" spans="1:22" ht="22" x14ac:dyDescent="0.2">
      <c r="A85" s="1"/>
      <c r="B85" s="31"/>
      <c r="C85" s="17" t="s">
        <v>20</v>
      </c>
      <c r="D85" s="17">
        <v>34</v>
      </c>
      <c r="E85" s="16">
        <f>IF(F85&gt;G85,3,IF(F85=G85,1,0))</f>
        <v>1</v>
      </c>
      <c r="F85" s="16"/>
      <c r="G85" s="16"/>
      <c r="H85" s="16">
        <f t="shared" si="53"/>
        <v>1</v>
      </c>
      <c r="I85" s="17">
        <v>25</v>
      </c>
      <c r="J85" s="17" t="s">
        <v>15</v>
      </c>
      <c r="K85" s="7"/>
      <c r="L85" s="13"/>
      <c r="M85" s="31"/>
      <c r="N85" s="17" t="s">
        <v>17</v>
      </c>
      <c r="O85" s="17">
        <v>54</v>
      </c>
      <c r="P85" s="16">
        <f t="shared" si="54"/>
        <v>1</v>
      </c>
      <c r="Q85" s="16"/>
      <c r="R85" s="16"/>
      <c r="S85" s="16">
        <f t="shared" si="51"/>
        <v>1</v>
      </c>
      <c r="T85" s="17">
        <v>81</v>
      </c>
      <c r="U85" s="17" t="s">
        <v>5</v>
      </c>
    </row>
    <row r="86" spans="1:22" ht="22" x14ac:dyDescent="0.2">
      <c r="A86" s="1"/>
      <c r="B86" s="31"/>
      <c r="C86" s="17" t="s">
        <v>4</v>
      </c>
      <c r="D86" s="17">
        <v>67</v>
      </c>
      <c r="E86" s="16">
        <f t="shared" si="52"/>
        <v>1</v>
      </c>
      <c r="F86" s="16"/>
      <c r="G86" s="16"/>
      <c r="H86" s="16">
        <f>IF(G86&gt;F86,3,IF(F86=G86,1,0))</f>
        <v>1</v>
      </c>
      <c r="I86" s="17">
        <v>28</v>
      </c>
      <c r="J86" s="17" t="s">
        <v>20</v>
      </c>
      <c r="K86" s="7"/>
      <c r="L86" s="13"/>
      <c r="M86" s="31"/>
      <c r="N86" s="17" t="s">
        <v>13</v>
      </c>
      <c r="O86" s="17">
        <v>89</v>
      </c>
      <c r="P86" s="16">
        <f t="shared" si="54"/>
        <v>1</v>
      </c>
      <c r="Q86" s="16"/>
      <c r="R86" s="16"/>
      <c r="S86" s="16">
        <f>IF(R86&gt;Q86,3,IF(Q86=R86,1,0))</f>
        <v>1</v>
      </c>
      <c r="T86" s="17">
        <v>9</v>
      </c>
      <c r="U86" s="17" t="s">
        <v>14</v>
      </c>
    </row>
    <row r="87" spans="1:22" ht="22" x14ac:dyDescent="0.2">
      <c r="B87" s="31"/>
      <c r="C87" s="17" t="s">
        <v>17</v>
      </c>
      <c r="D87" s="17">
        <v>50</v>
      </c>
      <c r="E87" s="16">
        <f t="shared" si="52"/>
        <v>1</v>
      </c>
      <c r="F87" s="16"/>
      <c r="G87" s="16"/>
      <c r="H87" s="16">
        <f t="shared" ref="H87:H88" si="55">IF(G87&gt;F87,3,IF(F87=G87,1,0))</f>
        <v>1</v>
      </c>
      <c r="I87" s="17">
        <v>76</v>
      </c>
      <c r="J87" s="17" t="s">
        <v>5</v>
      </c>
      <c r="K87" s="7"/>
      <c r="L87" s="13"/>
      <c r="M87" s="31"/>
      <c r="N87" s="17" t="s">
        <v>4</v>
      </c>
      <c r="O87" s="17">
        <v>70</v>
      </c>
      <c r="P87" s="16">
        <f t="shared" si="54"/>
        <v>1</v>
      </c>
      <c r="Q87" s="16"/>
      <c r="R87" s="16"/>
      <c r="S87" s="16">
        <f t="shared" ref="S87:S88" si="56">IF(R87&gt;Q87,3,IF(Q87=R87,1,0))</f>
        <v>1</v>
      </c>
      <c r="T87" s="17">
        <v>30</v>
      </c>
      <c r="U87" s="17" t="s">
        <v>20</v>
      </c>
    </row>
    <row r="88" spans="1:22" ht="22" x14ac:dyDescent="0.2">
      <c r="B88" s="31"/>
      <c r="C88" s="17" t="s">
        <v>14</v>
      </c>
      <c r="D88" s="17">
        <v>5</v>
      </c>
      <c r="E88" s="16">
        <f t="shared" si="52"/>
        <v>1</v>
      </c>
      <c r="F88" s="16"/>
      <c r="G88" s="16"/>
      <c r="H88" s="16">
        <f t="shared" si="55"/>
        <v>1</v>
      </c>
      <c r="I88" s="17">
        <v>85</v>
      </c>
      <c r="J88" s="17" t="s">
        <v>13</v>
      </c>
      <c r="K88" s="7"/>
      <c r="L88" s="13"/>
      <c r="M88" s="31"/>
      <c r="N88" s="17" t="s">
        <v>4</v>
      </c>
      <c r="O88" s="17">
        <v>61</v>
      </c>
      <c r="P88" s="16">
        <f t="shared" si="54"/>
        <v>1</v>
      </c>
      <c r="Q88" s="16"/>
      <c r="R88" s="16"/>
      <c r="S88" s="16">
        <f t="shared" si="56"/>
        <v>1</v>
      </c>
      <c r="T88" s="17">
        <v>16</v>
      </c>
      <c r="U88" s="17" t="s">
        <v>15</v>
      </c>
    </row>
    <row r="89" spans="1:22" x14ac:dyDescent="0.2">
      <c r="B89" s="6"/>
      <c r="C89" s="6"/>
      <c r="D89" s="5"/>
      <c r="E89" s="5"/>
      <c r="F89" s="5"/>
      <c r="G89" s="5"/>
      <c r="H89" s="5"/>
      <c r="I89" s="5"/>
      <c r="J89" s="5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x14ac:dyDescent="0.2">
      <c r="B90" s="6"/>
      <c r="C90" s="6"/>
      <c r="D90" s="5"/>
      <c r="E90" s="5"/>
      <c r="F90" s="5"/>
      <c r="G90" s="5"/>
      <c r="H90" s="5"/>
      <c r="I90" s="5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2">
      <c r="B91" s="6"/>
      <c r="C91" s="6"/>
      <c r="D91" s="5"/>
      <c r="E91" s="5"/>
      <c r="F91" s="5"/>
      <c r="G91" s="5"/>
      <c r="H91" s="5"/>
      <c r="I91" s="5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x14ac:dyDescent="0.2">
      <c r="B92" s="6"/>
      <c r="C92" s="6"/>
      <c r="D92" s="5"/>
      <c r="E92" s="5"/>
      <c r="F92" s="5"/>
      <c r="G92" s="5"/>
      <c r="H92" s="5"/>
      <c r="I92" s="5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x14ac:dyDescent="0.2">
      <c r="B93" s="6"/>
      <c r="C93" s="6"/>
      <c r="D93" s="5"/>
      <c r="E93" s="5"/>
      <c r="F93" s="5"/>
      <c r="G93" s="5"/>
      <c r="H93" s="5"/>
      <c r="I93" s="5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x14ac:dyDescent="0.2">
      <c r="B94" s="6"/>
      <c r="C94" s="6"/>
      <c r="D94" s="5"/>
      <c r="E94" s="5"/>
      <c r="F94" s="5"/>
      <c r="G94" s="5"/>
      <c r="H94" s="5"/>
      <c r="I94" s="5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x14ac:dyDescent="0.2">
      <c r="B95" s="6"/>
      <c r="C95" s="6"/>
      <c r="D95" s="7"/>
      <c r="E95" s="5"/>
      <c r="F95" s="5"/>
      <c r="G95" s="5"/>
      <c r="H95" s="5"/>
      <c r="I95" s="5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x14ac:dyDescent="0.2">
      <c r="B96" s="6"/>
      <c r="C96" s="6"/>
      <c r="D96" s="6"/>
      <c r="E96" s="5"/>
      <c r="F96" s="5"/>
      <c r="G96" s="5"/>
      <c r="H96" s="5"/>
      <c r="I96" s="5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2:22" x14ac:dyDescent="0.2">
      <c r="B97" s="6"/>
      <c r="C97" s="6"/>
      <c r="D97" s="6"/>
      <c r="E97" s="5"/>
      <c r="F97" s="5"/>
      <c r="G97" s="5"/>
      <c r="H97" s="5"/>
      <c r="I97" s="5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2:22" x14ac:dyDescent="0.2">
      <c r="B98" s="6"/>
      <c r="C98" s="6"/>
      <c r="D98" s="6"/>
      <c r="F98" s="5"/>
      <c r="G98" s="5"/>
      <c r="H98" s="5"/>
      <c r="I98" s="5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2:22" x14ac:dyDescent="0.2">
      <c r="B99" s="6"/>
      <c r="C99" s="6"/>
      <c r="D99" s="6"/>
      <c r="F99" s="5"/>
      <c r="G99" s="5"/>
      <c r="H99" s="5"/>
      <c r="I99" s="5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2:22" x14ac:dyDescent="0.2">
      <c r="C100" s="1"/>
      <c r="D100" s="1"/>
      <c r="E100" s="5"/>
    </row>
    <row r="101" spans="2:22" x14ac:dyDescent="0.2">
      <c r="E101" s="5"/>
    </row>
  </sheetData>
  <mergeCells count="42">
    <mergeCell ref="B79:B83"/>
    <mergeCell ref="M79:M83"/>
    <mergeCell ref="B84:B88"/>
    <mergeCell ref="M84:M88"/>
    <mergeCell ref="B69:B73"/>
    <mergeCell ref="M69:M73"/>
    <mergeCell ref="B76:U76"/>
    <mergeCell ref="B77:J77"/>
    <mergeCell ref="M77:U77"/>
    <mergeCell ref="B61:U61"/>
    <mergeCell ref="B62:J62"/>
    <mergeCell ref="M62:U62"/>
    <mergeCell ref="B64:B68"/>
    <mergeCell ref="M64:M68"/>
    <mergeCell ref="B47:J47"/>
    <mergeCell ref="M47:U47"/>
    <mergeCell ref="B49:B53"/>
    <mergeCell ref="M49:M53"/>
    <mergeCell ref="B54:B58"/>
    <mergeCell ref="M54:M58"/>
    <mergeCell ref="B32:J32"/>
    <mergeCell ref="M32:U32"/>
    <mergeCell ref="B34:B38"/>
    <mergeCell ref="M34:M38"/>
    <mergeCell ref="B39:B43"/>
    <mergeCell ref="M39:M43"/>
    <mergeCell ref="B46:U46"/>
    <mergeCell ref="B1:U1"/>
    <mergeCell ref="B2:J2"/>
    <mergeCell ref="M2:U2"/>
    <mergeCell ref="B4:B8"/>
    <mergeCell ref="M4:M8"/>
    <mergeCell ref="B9:B13"/>
    <mergeCell ref="M9:M13"/>
    <mergeCell ref="B16:U16"/>
    <mergeCell ref="B17:J17"/>
    <mergeCell ref="M17:U17"/>
    <mergeCell ref="B19:B23"/>
    <mergeCell ref="M19:M23"/>
    <mergeCell ref="B24:B28"/>
    <mergeCell ref="M24:M28"/>
    <mergeCell ref="B31:U3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3793-7682-CB44-ADC3-931E59EDC6C9}">
  <dimension ref="A1:I41"/>
  <sheetViews>
    <sheetView workbookViewId="0">
      <selection activeCell="L29" sqref="L29"/>
    </sheetView>
  </sheetViews>
  <sheetFormatPr baseColWidth="10" defaultColWidth="11.5" defaultRowHeight="15" x14ac:dyDescent="0.2"/>
  <cols>
    <col min="5" max="5" width="12.83203125" customWidth="1"/>
  </cols>
  <sheetData>
    <row r="1" spans="1:9" x14ac:dyDescent="0.2">
      <c r="A1" s="14" t="str" cm="1">
        <f t="array" ref="A1:D41">_xlfn.SORTBY('RoboBall-Spielplan'!W3:Z43,'RoboBall-Spielplan'!Y3:Y43,-1,'RoboBall-Spielplan'!Z3:Z43,-1)</f>
        <v>Klasse</v>
      </c>
      <c r="B1" s="14" t="str">
        <v>Gruppennummer</v>
      </c>
      <c r="C1" s="14" t="str">
        <v>Rangpunkte</v>
      </c>
      <c r="D1" s="14" t="str">
        <v>Torpunkte</v>
      </c>
      <c r="E1" s="4"/>
      <c r="G1" s="4"/>
      <c r="H1" s="4"/>
      <c r="I1" s="4"/>
    </row>
    <row r="2" spans="1:9" x14ac:dyDescent="0.2">
      <c r="A2" t="str">
        <v>2c</v>
      </c>
      <c r="B2">
        <v>12</v>
      </c>
      <c r="C2">
        <v>8</v>
      </c>
      <c r="D2">
        <v>35</v>
      </c>
    </row>
    <row r="3" spans="1:9" x14ac:dyDescent="0.2">
      <c r="A3" t="str">
        <v>2g</v>
      </c>
      <c r="B3">
        <v>64</v>
      </c>
      <c r="C3">
        <v>8</v>
      </c>
      <c r="D3">
        <v>35</v>
      </c>
    </row>
    <row r="4" spans="1:9" x14ac:dyDescent="0.2">
      <c r="A4" t="str">
        <v>2b</v>
      </c>
      <c r="B4">
        <v>73</v>
      </c>
      <c r="C4">
        <v>8</v>
      </c>
      <c r="D4">
        <v>31</v>
      </c>
    </row>
    <row r="5" spans="1:9" x14ac:dyDescent="0.2">
      <c r="A5" t="str">
        <v>2g</v>
      </c>
      <c r="B5">
        <v>72</v>
      </c>
      <c r="C5">
        <v>8</v>
      </c>
      <c r="D5">
        <v>30</v>
      </c>
    </row>
    <row r="6" spans="1:9" x14ac:dyDescent="0.2">
      <c r="A6" t="str">
        <v>2f</v>
      </c>
      <c r="B6">
        <v>91</v>
      </c>
      <c r="C6">
        <v>8</v>
      </c>
      <c r="D6">
        <v>25</v>
      </c>
    </row>
    <row r="7" spans="1:9" x14ac:dyDescent="0.2">
      <c r="A7" t="str">
        <v>2d</v>
      </c>
      <c r="B7">
        <v>30</v>
      </c>
      <c r="C7">
        <v>8</v>
      </c>
      <c r="D7">
        <v>23</v>
      </c>
    </row>
    <row r="8" spans="1:9" x14ac:dyDescent="0.2">
      <c r="A8" t="str">
        <v>2g</v>
      </c>
      <c r="B8">
        <v>65</v>
      </c>
      <c r="C8">
        <v>8</v>
      </c>
      <c r="D8">
        <v>23</v>
      </c>
    </row>
    <row r="9" spans="1:9" x14ac:dyDescent="0.2">
      <c r="A9" t="str">
        <v>2d</v>
      </c>
      <c r="B9">
        <v>33</v>
      </c>
      <c r="C9">
        <v>8</v>
      </c>
      <c r="D9">
        <v>21</v>
      </c>
    </row>
    <row r="10" spans="1:9" x14ac:dyDescent="0.2">
      <c r="A10" t="str">
        <v>2f</v>
      </c>
      <c r="B10">
        <v>89</v>
      </c>
      <c r="C10">
        <v>8</v>
      </c>
      <c r="D10">
        <v>21</v>
      </c>
    </row>
    <row r="11" spans="1:9" x14ac:dyDescent="0.2">
      <c r="A11" t="str">
        <v>2c</v>
      </c>
      <c r="B11">
        <v>5</v>
      </c>
      <c r="C11">
        <v>8</v>
      </c>
      <c r="D11">
        <v>18</v>
      </c>
    </row>
    <row r="12" spans="1:9" x14ac:dyDescent="0.2">
      <c r="A12" t="str">
        <v>2a</v>
      </c>
      <c r="B12">
        <v>54</v>
      </c>
      <c r="C12">
        <v>8</v>
      </c>
      <c r="D12">
        <v>15</v>
      </c>
    </row>
    <row r="13" spans="1:9" x14ac:dyDescent="0.2">
      <c r="A13" t="str">
        <v>2e</v>
      </c>
      <c r="B13">
        <v>19</v>
      </c>
      <c r="C13">
        <v>8</v>
      </c>
      <c r="D13">
        <v>13</v>
      </c>
    </row>
    <row r="14" spans="1:9" x14ac:dyDescent="0.2">
      <c r="A14" t="str">
        <v>2d</v>
      </c>
      <c r="B14">
        <v>37</v>
      </c>
      <c r="C14">
        <v>8</v>
      </c>
      <c r="D14">
        <v>10</v>
      </c>
    </row>
    <row r="15" spans="1:9" x14ac:dyDescent="0.2">
      <c r="A15" t="str">
        <v>2b</v>
      </c>
      <c r="B15">
        <v>81</v>
      </c>
      <c r="C15">
        <v>8</v>
      </c>
      <c r="D15">
        <v>10</v>
      </c>
    </row>
    <row r="16" spans="1:9" x14ac:dyDescent="0.2">
      <c r="A16" t="str">
        <v>2f</v>
      </c>
      <c r="B16">
        <v>85</v>
      </c>
      <c r="C16">
        <v>8</v>
      </c>
      <c r="D16">
        <v>10</v>
      </c>
    </row>
    <row r="17" spans="1:5" x14ac:dyDescent="0.2">
      <c r="A17" t="str">
        <v>2e</v>
      </c>
      <c r="B17">
        <v>21</v>
      </c>
      <c r="C17">
        <v>8</v>
      </c>
      <c r="D17">
        <v>8</v>
      </c>
    </row>
    <row r="18" spans="1:5" x14ac:dyDescent="0.2">
      <c r="A18" t="str">
        <v>2c</v>
      </c>
      <c r="B18">
        <v>9</v>
      </c>
      <c r="C18">
        <v>8</v>
      </c>
      <c r="D18">
        <v>5</v>
      </c>
    </row>
    <row r="19" spans="1:5" x14ac:dyDescent="0.2">
      <c r="A19" t="str">
        <v>2d</v>
      </c>
      <c r="B19">
        <v>34</v>
      </c>
      <c r="C19">
        <v>6</v>
      </c>
      <c r="D19">
        <v>10</v>
      </c>
    </row>
    <row r="20" spans="1:5" x14ac:dyDescent="0.2">
      <c r="A20" t="str">
        <v>2a</v>
      </c>
      <c r="B20">
        <v>56</v>
      </c>
      <c r="C20">
        <v>6</v>
      </c>
      <c r="D20">
        <v>10</v>
      </c>
    </row>
    <row r="21" spans="1:5" x14ac:dyDescent="0.2">
      <c r="A21" t="str">
        <v>2d</v>
      </c>
      <c r="B21">
        <v>27</v>
      </c>
      <c r="C21">
        <v>6</v>
      </c>
      <c r="D21">
        <v>0</v>
      </c>
    </row>
    <row r="22" spans="1:5" x14ac:dyDescent="0.2">
      <c r="A22" t="str">
        <v>2a</v>
      </c>
      <c r="B22">
        <v>50</v>
      </c>
      <c r="C22">
        <v>6</v>
      </c>
      <c r="D22">
        <v>0</v>
      </c>
    </row>
    <row r="23" spans="1:5" x14ac:dyDescent="0.2">
      <c r="A23" t="str">
        <v>2b</v>
      </c>
      <c r="B23">
        <v>78</v>
      </c>
      <c r="C23">
        <v>6</v>
      </c>
      <c r="D23">
        <v>0</v>
      </c>
    </row>
    <row r="24" spans="1:5" x14ac:dyDescent="0.2">
      <c r="A24" t="str">
        <v>2f</v>
      </c>
      <c r="B24">
        <v>87</v>
      </c>
      <c r="C24">
        <v>6</v>
      </c>
      <c r="D24">
        <v>0</v>
      </c>
    </row>
    <row r="25" spans="1:5" x14ac:dyDescent="0.2">
      <c r="A25" t="str">
        <v>2f</v>
      </c>
      <c r="B25">
        <v>88</v>
      </c>
      <c r="C25">
        <v>5</v>
      </c>
      <c r="D25">
        <v>24</v>
      </c>
      <c r="E25" s="12"/>
    </row>
    <row r="26" spans="1:5" x14ac:dyDescent="0.2">
      <c r="A26" t="str">
        <v>2a</v>
      </c>
      <c r="B26">
        <v>58</v>
      </c>
      <c r="C26">
        <v>5</v>
      </c>
      <c r="D26">
        <v>20</v>
      </c>
    </row>
    <row r="27" spans="1:5" x14ac:dyDescent="0.2">
      <c r="A27" t="str">
        <v>2d</v>
      </c>
      <c r="B27">
        <v>28</v>
      </c>
      <c r="C27">
        <v>5</v>
      </c>
      <c r="D27">
        <v>12</v>
      </c>
    </row>
    <row r="28" spans="1:5" x14ac:dyDescent="0.2">
      <c r="A28" t="str">
        <v>2c</v>
      </c>
      <c r="B28">
        <v>2</v>
      </c>
      <c r="C28">
        <v>5</v>
      </c>
      <c r="D28">
        <v>6</v>
      </c>
    </row>
    <row r="29" spans="1:5" x14ac:dyDescent="0.2">
      <c r="A29" t="str">
        <v>2e</v>
      </c>
      <c r="B29">
        <v>24</v>
      </c>
      <c r="C29">
        <v>5</v>
      </c>
      <c r="D29">
        <v>6</v>
      </c>
    </row>
    <row r="30" spans="1:5" x14ac:dyDescent="0.2">
      <c r="A30" t="str">
        <v>2g</v>
      </c>
      <c r="B30">
        <v>67</v>
      </c>
      <c r="C30">
        <v>5</v>
      </c>
      <c r="D30">
        <v>5</v>
      </c>
      <c r="E30" s="12"/>
    </row>
    <row r="31" spans="1:5" x14ac:dyDescent="0.2">
      <c r="A31" t="str">
        <v>2c</v>
      </c>
      <c r="B31">
        <v>7</v>
      </c>
      <c r="C31">
        <v>5</v>
      </c>
      <c r="D31">
        <v>3</v>
      </c>
    </row>
    <row r="32" spans="1:5" x14ac:dyDescent="0.2">
      <c r="A32" t="str">
        <v>2e</v>
      </c>
      <c r="B32">
        <v>14</v>
      </c>
      <c r="C32">
        <v>5</v>
      </c>
      <c r="D32">
        <v>3</v>
      </c>
    </row>
    <row r="33" spans="1:4" x14ac:dyDescent="0.2">
      <c r="A33" t="str">
        <v>2g</v>
      </c>
      <c r="B33">
        <v>61</v>
      </c>
      <c r="C33">
        <v>5</v>
      </c>
      <c r="D33">
        <v>3</v>
      </c>
    </row>
    <row r="34" spans="1:4" x14ac:dyDescent="0.2">
      <c r="A34" t="str">
        <v>2c</v>
      </c>
      <c r="B34">
        <v>4</v>
      </c>
      <c r="C34">
        <v>5</v>
      </c>
      <c r="D34">
        <v>1</v>
      </c>
    </row>
    <row r="35" spans="1:4" x14ac:dyDescent="0.2">
      <c r="A35" t="str">
        <v>2g</v>
      </c>
      <c r="B35">
        <v>70</v>
      </c>
      <c r="C35">
        <v>5</v>
      </c>
      <c r="D35">
        <v>1</v>
      </c>
    </row>
    <row r="36" spans="1:4" x14ac:dyDescent="0.2">
      <c r="A36" t="str">
        <v>2e</v>
      </c>
      <c r="B36">
        <v>16</v>
      </c>
      <c r="C36">
        <v>5</v>
      </c>
      <c r="D36">
        <v>0</v>
      </c>
    </row>
    <row r="37" spans="1:4" x14ac:dyDescent="0.2">
      <c r="A37" t="str">
        <v>2e</v>
      </c>
      <c r="B37">
        <v>25</v>
      </c>
      <c r="C37">
        <v>5</v>
      </c>
      <c r="D37">
        <v>0</v>
      </c>
    </row>
    <row r="38" spans="1:4" x14ac:dyDescent="0.2">
      <c r="A38" t="str">
        <v>2a</v>
      </c>
      <c r="B38">
        <v>52</v>
      </c>
      <c r="C38">
        <v>5</v>
      </c>
      <c r="D38">
        <v>0</v>
      </c>
    </row>
    <row r="39" spans="1:4" x14ac:dyDescent="0.2">
      <c r="A39" t="str">
        <v>2b</v>
      </c>
      <c r="B39">
        <v>76</v>
      </c>
      <c r="C39">
        <v>5</v>
      </c>
      <c r="D39">
        <v>0</v>
      </c>
    </row>
    <row r="40" spans="1:4" x14ac:dyDescent="0.2">
      <c r="A40" t="str">
        <v>2b</v>
      </c>
      <c r="B40">
        <v>79</v>
      </c>
      <c r="C40">
        <v>5</v>
      </c>
      <c r="D40">
        <v>0</v>
      </c>
    </row>
    <row r="41" spans="1:4" x14ac:dyDescent="0.2">
      <c r="A41" t="str">
        <v>2f</v>
      </c>
      <c r="B41">
        <v>90</v>
      </c>
      <c r="C41">
        <v>5</v>
      </c>
      <c r="D41">
        <v>0</v>
      </c>
    </row>
  </sheetData>
  <sheetProtection sheet="1" formatCells="0" formatColumns="0" formatRows="0" insertColumns="0" insertRows="0" insertHyperlinks="0" deleteColumns="0" deleteRows="0" sort="0" autoFilter="0" pivotTables="0"/>
  <phoneticPr fontId="2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128B-BC04-AE43-96E7-DEE798181085}">
  <dimension ref="A1:C41"/>
  <sheetViews>
    <sheetView zoomScale="169" workbookViewId="0">
      <selection activeCell="F33" sqref="F33"/>
    </sheetView>
  </sheetViews>
  <sheetFormatPr baseColWidth="10" defaultColWidth="10.83203125" defaultRowHeight="15" x14ac:dyDescent="0.2"/>
  <sheetData>
    <row r="1" spans="1:3" x14ac:dyDescent="0.2">
      <c r="A1" s="4" t="s">
        <v>3</v>
      </c>
      <c r="B1" s="4" t="s">
        <v>2</v>
      </c>
      <c r="C1" s="4" t="s">
        <v>46</v>
      </c>
    </row>
    <row r="2" spans="1:3" x14ac:dyDescent="0.2">
      <c r="A2" s="1" t="s">
        <v>45</v>
      </c>
      <c r="B2" t="s">
        <v>14</v>
      </c>
      <c r="C2" t="s">
        <v>67</v>
      </c>
    </row>
    <row r="3" spans="1:3" x14ac:dyDescent="0.2">
      <c r="A3" s="1" t="s">
        <v>47</v>
      </c>
      <c r="B3" t="s">
        <v>14</v>
      </c>
      <c r="C3" t="s">
        <v>68</v>
      </c>
    </row>
    <row r="4" spans="1:3" x14ac:dyDescent="0.2">
      <c r="A4" s="1" t="s">
        <v>48</v>
      </c>
      <c r="B4" t="s">
        <v>14</v>
      </c>
      <c r="C4" t="s">
        <v>69</v>
      </c>
    </row>
    <row r="5" spans="1:3" x14ac:dyDescent="0.2">
      <c r="A5" s="1" t="s">
        <v>49</v>
      </c>
      <c r="B5" t="s">
        <v>14</v>
      </c>
      <c r="C5" t="s">
        <v>70</v>
      </c>
    </row>
    <row r="6" spans="1:3" x14ac:dyDescent="0.2">
      <c r="A6" s="1" t="s">
        <v>50</v>
      </c>
      <c r="B6" t="s">
        <v>14</v>
      </c>
      <c r="C6" t="s">
        <v>71</v>
      </c>
    </row>
    <row r="7" spans="1:3" x14ac:dyDescent="0.2">
      <c r="A7" s="1" t="s">
        <v>51</v>
      </c>
      <c r="B7" t="s">
        <v>14</v>
      </c>
      <c r="C7" t="s">
        <v>72</v>
      </c>
    </row>
    <row r="8" spans="1:3" x14ac:dyDescent="0.2">
      <c r="A8" s="1" t="s">
        <v>52</v>
      </c>
      <c r="B8" t="s">
        <v>15</v>
      </c>
      <c r="C8" t="s">
        <v>73</v>
      </c>
    </row>
    <row r="9" spans="1:3" x14ac:dyDescent="0.2">
      <c r="A9" s="1" t="s">
        <v>53</v>
      </c>
      <c r="B9" t="s">
        <v>15</v>
      </c>
      <c r="C9" t="s">
        <v>74</v>
      </c>
    </row>
    <row r="10" spans="1:3" x14ac:dyDescent="0.2">
      <c r="A10" s="1" t="s">
        <v>54</v>
      </c>
      <c r="B10" t="s">
        <v>15</v>
      </c>
      <c r="C10" t="s">
        <v>75</v>
      </c>
    </row>
    <row r="11" spans="1:3" x14ac:dyDescent="0.2">
      <c r="A11" s="1" t="s">
        <v>16</v>
      </c>
      <c r="B11" t="s">
        <v>15</v>
      </c>
      <c r="C11" t="s">
        <v>76</v>
      </c>
    </row>
    <row r="12" spans="1:3" x14ac:dyDescent="0.2">
      <c r="A12" s="1" t="s">
        <v>55</v>
      </c>
      <c r="B12" t="s">
        <v>15</v>
      </c>
      <c r="C12" t="s">
        <v>77</v>
      </c>
    </row>
    <row r="13" spans="1:3" x14ac:dyDescent="0.2">
      <c r="A13" s="1" t="s">
        <v>56</v>
      </c>
      <c r="B13" t="s">
        <v>15</v>
      </c>
      <c r="C13" t="s">
        <v>78</v>
      </c>
    </row>
    <row r="14" spans="1:3" x14ac:dyDescent="0.2">
      <c r="A14" s="1" t="s">
        <v>21</v>
      </c>
      <c r="B14" t="s">
        <v>20</v>
      </c>
      <c r="C14" t="s">
        <v>79</v>
      </c>
    </row>
    <row r="15" spans="1:3" x14ac:dyDescent="0.2">
      <c r="A15" s="1" t="s">
        <v>22</v>
      </c>
      <c r="B15" t="s">
        <v>20</v>
      </c>
      <c r="C15" t="s">
        <v>80</v>
      </c>
    </row>
    <row r="16" spans="1:3" x14ac:dyDescent="0.2">
      <c r="A16" s="1" t="s">
        <v>23</v>
      </c>
      <c r="B16" t="s">
        <v>20</v>
      </c>
      <c r="C16" t="s">
        <v>81</v>
      </c>
    </row>
    <row r="17" spans="1:3" x14ac:dyDescent="0.2">
      <c r="A17" s="1" t="s">
        <v>24</v>
      </c>
      <c r="B17" t="s">
        <v>20</v>
      </c>
      <c r="C17" t="s">
        <v>82</v>
      </c>
    </row>
    <row r="18" spans="1:3" x14ac:dyDescent="0.2">
      <c r="A18" s="1" t="s">
        <v>25</v>
      </c>
      <c r="B18" t="s">
        <v>20</v>
      </c>
      <c r="C18" t="s">
        <v>83</v>
      </c>
    </row>
    <row r="19" spans="1:3" x14ac:dyDescent="0.2">
      <c r="A19" s="1" t="s">
        <v>26</v>
      </c>
      <c r="B19" t="s">
        <v>20</v>
      </c>
      <c r="C19" t="s">
        <v>84</v>
      </c>
    </row>
    <row r="20" spans="1:3" x14ac:dyDescent="0.2">
      <c r="A20" s="1" t="s">
        <v>18</v>
      </c>
      <c r="B20" t="s">
        <v>17</v>
      </c>
      <c r="C20" t="s">
        <v>85</v>
      </c>
    </row>
    <row r="21" spans="1:3" x14ac:dyDescent="0.2">
      <c r="A21" s="1" t="s">
        <v>43</v>
      </c>
      <c r="B21" t="s">
        <v>17</v>
      </c>
      <c r="C21" t="s">
        <v>86</v>
      </c>
    </row>
    <row r="22" spans="1:3" x14ac:dyDescent="0.2">
      <c r="A22" s="1" t="s">
        <v>44</v>
      </c>
      <c r="B22" t="s">
        <v>17</v>
      </c>
      <c r="C22" t="s">
        <v>87</v>
      </c>
    </row>
    <row r="23" spans="1:3" x14ac:dyDescent="0.2">
      <c r="A23" s="1" t="s">
        <v>57</v>
      </c>
      <c r="B23" t="s">
        <v>17</v>
      </c>
      <c r="C23" t="s">
        <v>88</v>
      </c>
    </row>
    <row r="24" spans="1:3" x14ac:dyDescent="0.2">
      <c r="A24" s="1" t="s">
        <v>19</v>
      </c>
      <c r="B24" t="s">
        <v>17</v>
      </c>
      <c r="C24" t="s">
        <v>89</v>
      </c>
    </row>
    <row r="25" spans="1:3" x14ac:dyDescent="0.2">
      <c r="A25" s="1" t="s">
        <v>58</v>
      </c>
      <c r="B25" t="s">
        <v>4</v>
      </c>
      <c r="C25" t="s">
        <v>90</v>
      </c>
    </row>
    <row r="26" spans="1:3" x14ac:dyDescent="0.2">
      <c r="A26" s="1" t="s">
        <v>59</v>
      </c>
      <c r="B26" t="s">
        <v>4</v>
      </c>
      <c r="C26" t="s">
        <v>91</v>
      </c>
    </row>
    <row r="27" spans="1:3" x14ac:dyDescent="0.2">
      <c r="A27" s="1" t="s">
        <v>60</v>
      </c>
      <c r="B27" t="s">
        <v>4</v>
      </c>
      <c r="C27" t="s">
        <v>92</v>
      </c>
    </row>
    <row r="28" spans="1:3" x14ac:dyDescent="0.2">
      <c r="A28" s="1" t="s">
        <v>6</v>
      </c>
      <c r="B28" t="s">
        <v>4</v>
      </c>
      <c r="C28" t="s">
        <v>93</v>
      </c>
    </row>
    <row r="29" spans="1:3" x14ac:dyDescent="0.2">
      <c r="A29" s="1" t="s">
        <v>7</v>
      </c>
      <c r="B29" t="s">
        <v>4</v>
      </c>
      <c r="C29" t="s">
        <v>94</v>
      </c>
    </row>
    <row r="30" spans="1:3" x14ac:dyDescent="0.2">
      <c r="A30" s="1" t="s">
        <v>108</v>
      </c>
      <c r="B30" t="s">
        <v>4</v>
      </c>
      <c r="C30" t="s">
        <v>95</v>
      </c>
    </row>
    <row r="31" spans="1:3" x14ac:dyDescent="0.2">
      <c r="A31" s="1" t="s">
        <v>8</v>
      </c>
      <c r="B31" t="s">
        <v>5</v>
      </c>
      <c r="C31" t="s">
        <v>96</v>
      </c>
    </row>
    <row r="32" spans="1:3" x14ac:dyDescent="0.2">
      <c r="A32" s="1" t="s">
        <v>9</v>
      </c>
      <c r="B32" t="s">
        <v>5</v>
      </c>
      <c r="C32" t="s">
        <v>97</v>
      </c>
    </row>
    <row r="33" spans="1:3" x14ac:dyDescent="0.2">
      <c r="A33" s="1" t="s">
        <v>10</v>
      </c>
      <c r="B33" t="s">
        <v>5</v>
      </c>
      <c r="C33" t="s">
        <v>98</v>
      </c>
    </row>
    <row r="34" spans="1:3" x14ac:dyDescent="0.2">
      <c r="A34" s="1" t="s">
        <v>11</v>
      </c>
      <c r="B34" t="s">
        <v>5</v>
      </c>
      <c r="C34" t="s">
        <v>99</v>
      </c>
    </row>
    <row r="35" spans="1:3" x14ac:dyDescent="0.2">
      <c r="A35" s="1" t="s">
        <v>12</v>
      </c>
      <c r="B35" t="s">
        <v>5</v>
      </c>
      <c r="C35" t="s">
        <v>100</v>
      </c>
    </row>
    <row r="36" spans="1:3" x14ac:dyDescent="0.2">
      <c r="A36" s="1" t="s">
        <v>61</v>
      </c>
      <c r="B36" t="s">
        <v>13</v>
      </c>
      <c r="C36" t="s">
        <v>101</v>
      </c>
    </row>
    <row r="37" spans="1:3" x14ac:dyDescent="0.2">
      <c r="A37" s="1" t="s">
        <v>62</v>
      </c>
      <c r="B37" t="s">
        <v>13</v>
      </c>
      <c r="C37" t="s">
        <v>102</v>
      </c>
    </row>
    <row r="38" spans="1:3" x14ac:dyDescent="0.2">
      <c r="A38" s="1" t="s">
        <v>63</v>
      </c>
      <c r="B38" t="s">
        <v>13</v>
      </c>
      <c r="C38" t="s">
        <v>103</v>
      </c>
    </row>
    <row r="39" spans="1:3" x14ac:dyDescent="0.2">
      <c r="A39" s="1" t="s">
        <v>64</v>
      </c>
      <c r="B39" t="s">
        <v>13</v>
      </c>
      <c r="C39" t="s">
        <v>104</v>
      </c>
    </row>
    <row r="40" spans="1:3" x14ac:dyDescent="0.2">
      <c r="A40" s="1" t="s">
        <v>65</v>
      </c>
      <c r="B40" t="s">
        <v>13</v>
      </c>
      <c r="C40" t="s">
        <v>105</v>
      </c>
    </row>
    <row r="41" spans="1:3" x14ac:dyDescent="0.2">
      <c r="A41" s="1" t="s">
        <v>66</v>
      </c>
      <c r="B41" t="s">
        <v>13</v>
      </c>
      <c r="C41" t="s">
        <v>106</v>
      </c>
    </row>
  </sheetData>
  <phoneticPr fontId="2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be96a66-639a-49bd-ae5f-911ec7d6c2fc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cd6380-bda3-48d2-8fbc-3eb2b8842e9c">
      <Terms xmlns="http://schemas.microsoft.com/office/infopath/2007/PartnerControls"/>
    </lcf76f155ced4ddcb4097134ff3c332f>
    <TaxCatchAll xmlns="4af33632-ae06-419a-9cde-c132ea01998a" xsi:nil="true"/>
    <f8e6109263404e4da1831cd151bd9fd5 xmlns="4af33632-ae06-419a-9cde-c132ea01998a">
      <Terms xmlns="http://schemas.microsoft.com/office/infopath/2007/PartnerControls"/>
    </f8e6109263404e4da1831cd151bd9fd5>
    <kd8ebdb17ae1461db4d8c38e130fcffb xmlns="4af33632-ae06-419a-9cde-c132ea01998a">
      <Terms xmlns="http://schemas.microsoft.com/office/infopath/2007/PartnerControls"/>
    </kd8ebdb17ae1461db4d8c38e130fcffb>
    <AnzeigeStartseite xmlns="4af33632-ae06-419a-9cde-c132ea019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DB85367C20A4499C08F4CA4D5990E0" ma:contentTypeVersion="14" ma:contentTypeDescription="Ein neues Dokument erstellen." ma:contentTypeScope="" ma:versionID="3dd10242c9d5248a8f685c250a5fc978">
  <xsd:schema xmlns:xsd="http://www.w3.org/2001/XMLSchema" xmlns:xs="http://www.w3.org/2001/XMLSchema" xmlns:p="http://schemas.microsoft.com/office/2006/metadata/properties" xmlns:ns2="4af33632-ae06-419a-9cde-c132ea01998a" xmlns:ns3="1bcd6380-bda3-48d2-8fbc-3eb2b8842e9c" targetNamespace="http://schemas.microsoft.com/office/2006/metadata/properties" ma:root="true" ma:fieldsID="c3e60e7f399f82dd53caaf2d567bcde1" ns2:_="" ns3:_="">
    <xsd:import namespace="4af33632-ae06-419a-9cde-c132ea01998a"/>
    <xsd:import namespace="1bcd6380-bda3-48d2-8fbc-3eb2b8842e9c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AnzeigeStartseite" minOccurs="0"/>
                <xsd:element ref="ns2:f8e6109263404e4da1831cd151bd9fd5" minOccurs="0"/>
                <xsd:element ref="ns2:kd8ebdb17ae1461db4d8c38e130fcffb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33632-ae06-419a-9cde-c132ea01998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df11f190-19b7-4208-b42f-1418ff96fe68}" ma:internalName="TaxCatchAll" ma:showField="CatchAllData" ma:web="8809bee8-42c8-488a-8141-8f04d619b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df11f190-19b7-4208-b42f-1418ff96fe68}" ma:internalName="TaxCatchAllLabel" ma:readOnly="true" ma:showField="CatchAllDataLabel" ma:web="8809bee8-42c8-488a-8141-8f04d619b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nzeigeStartseite" ma:index="10" nillable="true" ma:displayName="AnzeigeStartseite" ma:format="DateOnly" ma:internalName="AnzeigeStartseite">
      <xsd:simpleType>
        <xsd:restriction base="dms:DateTime"/>
      </xsd:simpleType>
    </xsd:element>
    <xsd:element name="f8e6109263404e4da1831cd151bd9fd5" ma:index="11" nillable="true" ma:taxonomy="true" ma:internalName="f8e6109263404e4da1831cd151bd9fd5" ma:taxonomyFieldName="DokThema" ma:displayName="DokThema" ma:default="" ma:fieldId="{f8e61092-6340-4e4d-a183-1cd151bd9fd5}" ma:sspId="2be96a66-639a-49bd-ae5f-911ec7d6c2fc" ma:termSetId="c5c8d1ea-3472-48cf-8c39-df98fcff684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d8ebdb17ae1461db4d8c38e130fcffb" ma:index="13" nillable="true" ma:taxonomy="true" ma:internalName="kd8ebdb17ae1461db4d8c38e130fcffb" ma:taxonomyFieldName="DokTyp" ma:displayName="DokTyp" ma:default="" ma:fieldId="{4d8ebdb1-7ae1-461d-b4d8-c38e130fcffb}" ma:sspId="2be96a66-639a-49bd-ae5f-911ec7d6c2fc" ma:termSetId="2e3127d8-a893-4e84-9bda-71efca3858a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d6380-bda3-48d2-8fbc-3eb2b8842e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Bildmarkierungen" ma:readOnly="false" ma:fieldId="{5cf76f15-5ced-4ddc-b409-7134ff3c332f}" ma:taxonomyMulti="true" ma:sspId="2be96a66-639a-49bd-ae5f-911ec7d6c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4EAF91-C187-460F-9E0E-B856FB5E193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33E82EA-34B8-478E-90E7-7586E722C072}">
  <ds:schemaRefs>
    <ds:schemaRef ds:uri="http://purl.org/dc/dcmitype/"/>
    <ds:schemaRef ds:uri="http://schemas.openxmlformats.org/package/2006/metadata/core-properties"/>
    <ds:schemaRef ds:uri="http://purl.org/dc/elements/1.1/"/>
    <ds:schemaRef ds:uri="1bcd6380-bda3-48d2-8fbc-3eb2b8842e9c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4af33632-ae06-419a-9cde-c132ea01998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4A7263C-2DE4-4511-A0DE-FB7A876B26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7E30AD-6895-4D50-B36C-27DC78AA4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33632-ae06-419a-9cde-c132ea01998a"/>
    <ds:schemaRef ds:uri="1bcd6380-bda3-48d2-8fbc-3eb2b8842e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Linienfolger-Resultate</vt:lpstr>
      <vt:lpstr>Move-it-over-Spielplan</vt:lpstr>
      <vt:lpstr>Move-it-over-Rangliste</vt:lpstr>
      <vt:lpstr>RoboBall-Spielplan</vt:lpstr>
      <vt:lpstr>RoboBall-Rangliste</vt:lpstr>
      <vt:lpstr>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Camilla Gretsch</cp:lastModifiedBy>
  <cp:revision/>
  <dcterms:created xsi:type="dcterms:W3CDTF">2025-02-06T13:28:40Z</dcterms:created>
  <dcterms:modified xsi:type="dcterms:W3CDTF">2026-06-19T12:04:36Z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0x0101001FDB85367C20A4499C08F4CA4D5990E0</vt:lpwstr>
  </property>
  <property fmtid="{D5CDD505-2E9C-101B-9397-08002B2CF9AE}" pid="3" name="MediaServiceImageTags">
    <vt:lpwstr/>
  </property>
  <property fmtid="{D5CDD505-2E9C-101B-9397-08002B2CF9AE}" pid="4" name="DokTyp">
    <vt:lpwstr/>
  </property>
  <property fmtid="{D5CDD505-2E9C-101B-9397-08002B2CF9AE}" pid="5" name="DokThema">
    <vt:lpwstr/>
  </property>
</Properties>
</file>